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\EXCEL\"/>
    </mc:Choice>
  </mc:AlternateContent>
  <xr:revisionPtr revIDLastSave="0" documentId="13_ncr:1_{68C4D937-B118-4E13-805E-50B6EF6FF9E8}" xr6:coauthVersionLast="47" xr6:coauthVersionMax="47" xr10:uidLastSave="{00000000-0000-0000-0000-000000000000}"/>
  <bookViews>
    <workbookView xWindow="-120" yWindow="-120" windowWidth="20730" windowHeight="11160" xr2:uid="{90BB2605-0EB4-44D8-AAD5-5FB5CB06C128}"/>
  </bookViews>
  <sheets>
    <sheet name="MonthlySalesAnalysis" sheetId="1" r:id="rId1"/>
    <sheet name="Regional Analysis" sheetId="2" r:id="rId2"/>
    <sheet name="Product Analysis" sheetId="5" r:id="rId3"/>
    <sheet name="CategoryAnalysis" sheetId="7" r:id="rId4"/>
  </sheets>
  <definedNames>
    <definedName name="ExternalData_1" localSheetId="3" hidden="1">'CategoryAnalysis'!$A$1:$E$7</definedName>
    <definedName name="ExternalData_1" localSheetId="2" hidden="1">'Product Analysis'!$A$1:$F$11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B1115D-B1DE-4E0A-9727-9C05076A5D8C}" keepAlive="1" name="Query - CategoryAnalysis" description="Connection to the 'CategoryAnalysis' query in the workbook." type="5" refreshedVersion="8" background="1" saveData="1">
    <dbPr connection="Provider=Microsoft.Mashup.OleDb.1;Data Source=$Workbook$;Location=CategoryAnalysis;Extended Properties=&quot;&quot;" command="SELECT * FROM [CategoryAnalysis]"/>
  </connection>
  <connection id="2" xr16:uid="{2741F77B-076C-4D4C-9B65-E1FC62A9F665}" keepAlive="1" name="Query - Top10ProductsByProfit" description="Connection to the 'Top10ProductsByProfit' query in the workbook." type="5" refreshedVersion="8" background="1" saveData="1">
    <dbPr connection="Provider=Microsoft.Mashup.OleDb.1;Data Source=$Workbook$;Location=Top10ProductsByProfit;Extended Properties=&quot;&quot;" command="SELECT * FROM [Top10ProductsByProfit]"/>
  </connection>
</connections>
</file>

<file path=xl/sharedStrings.xml><?xml version="1.0" encoding="utf-8"?>
<sst xmlns="http://schemas.openxmlformats.org/spreadsheetml/2006/main" count="118" uniqueCount="54">
  <si>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</si>
  <si>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</si>
  <si>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</si>
  <si>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</si>
  <si>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</si>
  <si>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</si>
  <si>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</si>
  <si>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</si>
  <si>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</si>
  <si>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</si>
  <si>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</si>
  <si>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</si>
  <si>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YearNumber</t>
  </si>
  <si>
    <t>MonthNumber</t>
  </si>
  <si>
    <t>MonthName</t>
  </si>
  <si>
    <t>TotalOrders</t>
  </si>
  <si>
    <t>UnitsSold</t>
  </si>
  <si>
    <t>GrossSales</t>
  </si>
  <si>
    <t>TotalDiscount</t>
  </si>
  <si>
    <t>NetSales</t>
  </si>
  <si>
    <t>TotalProfit</t>
  </si>
  <si>
    <t>ProfitMarginPercent</t>
  </si>
  <si>
    <t>MonthYear</t>
  </si>
  <si>
    <t>RegionName</t>
  </si>
  <si>
    <t>Mid Atlantic</t>
  </si>
  <si>
    <t>Southeast</t>
  </si>
  <si>
    <t>West</t>
  </si>
  <si>
    <t>Midwest</t>
  </si>
  <si>
    <t>Southwest</t>
  </si>
  <si>
    <t>Northeast</t>
  </si>
  <si>
    <t>South Central</t>
  </si>
  <si>
    <t>Northwest</t>
  </si>
  <si>
    <t>LG Smartphones Standard 211</t>
  </si>
  <si>
    <t>Electronics</t>
  </si>
  <si>
    <t>Sony Home Electronics Max 210</t>
  </si>
  <si>
    <t>HP Gaming Max 158</t>
  </si>
  <si>
    <t>Logitech Tablets Standard 263</t>
  </si>
  <si>
    <t>Apple Televisions Plus 105</t>
  </si>
  <si>
    <t>LG Smartphones Standard 51</t>
  </si>
  <si>
    <t>Samsung Headphones Pro 104</t>
  </si>
  <si>
    <t>Dell Laptops Pro 52</t>
  </si>
  <si>
    <t>Lenovo Cameras Plus 157</t>
  </si>
  <si>
    <t>Apple Computer Accessories Plus 209</t>
  </si>
  <si>
    <t>ProductName</t>
  </si>
  <si>
    <t>Cateogry</t>
  </si>
  <si>
    <t>NetsSales</t>
  </si>
  <si>
    <t>ProfitMarginPercetage</t>
  </si>
  <si>
    <t>Home &amp; Living</t>
  </si>
  <si>
    <t>Fashion</t>
  </si>
  <si>
    <t>Sports &amp; Fitness</t>
  </si>
  <si>
    <t>Beauty &amp; Personal Care</t>
  </si>
  <si>
    <t>Grocery</t>
  </si>
  <si>
    <t>Category</t>
  </si>
  <si>
    <t>ProfitMarginPercentage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</si>
</sst>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17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Sales 2022-2026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MonthlySalesAnalysis!$I$1</c:f>
              <c:strCache>
                <c:ptCount val="1"/>
                <c:pt idx="0">
                  <c:v>NetSales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MonthlySalesAnalysis!$D$2:$D$61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MonthlySalesAnalysis!$I$2:$I$61</c:f>
              <c:numCache>
                <c:formatCode>General</c:formatCode>
                <c:ptCount val="60"/>
                <c:pt idx="0">
                  <c:v>8826367.2100000009</c:v>
                </c:pt>
                <c:pt idx="1">
                  <c:v>7733654.1600000001</c:v>
                </c:pt>
                <c:pt idx="2">
                  <c:v>8914263.0199999996</c:v>
                </c:pt>
                <c:pt idx="3">
                  <c:v>8342506.4500000002</c:v>
                </c:pt>
                <c:pt idx="4">
                  <c:v>8804323.4199999999</c:v>
                </c:pt>
                <c:pt idx="5">
                  <c:v>8189228.6699999999</c:v>
                </c:pt>
                <c:pt idx="6">
                  <c:v>8216728.3499999996</c:v>
                </c:pt>
                <c:pt idx="7">
                  <c:v>8820516.4600000009</c:v>
                </c:pt>
                <c:pt idx="8">
                  <c:v>8523544.6799999997</c:v>
                </c:pt>
                <c:pt idx="9">
                  <c:v>8779355.7100000009</c:v>
                </c:pt>
                <c:pt idx="10">
                  <c:v>8569909.4000000004</c:v>
                </c:pt>
                <c:pt idx="11">
                  <c:v>8148249.3899999997</c:v>
                </c:pt>
                <c:pt idx="12">
                  <c:v>8469081.5999999996</c:v>
                </c:pt>
                <c:pt idx="13">
                  <c:v>7722338.8399999999</c:v>
                </c:pt>
                <c:pt idx="14">
                  <c:v>8551291.5199999996</c:v>
                </c:pt>
                <c:pt idx="15">
                  <c:v>8461366.2100000009</c:v>
                </c:pt>
                <c:pt idx="16">
                  <c:v>8478460.2899999991</c:v>
                </c:pt>
                <c:pt idx="17">
                  <c:v>8452774.2799999993</c:v>
                </c:pt>
                <c:pt idx="18">
                  <c:v>8811295.4900000002</c:v>
                </c:pt>
                <c:pt idx="19">
                  <c:v>8621036.3399999999</c:v>
                </c:pt>
                <c:pt idx="20">
                  <c:v>8555307.4800000004</c:v>
                </c:pt>
                <c:pt idx="21">
                  <c:v>8510458.0700000003</c:v>
                </c:pt>
                <c:pt idx="22">
                  <c:v>8024413.6900000004</c:v>
                </c:pt>
                <c:pt idx="23">
                  <c:v>8971661.3000000007</c:v>
                </c:pt>
                <c:pt idx="24">
                  <c:v>8620834.8699999992</c:v>
                </c:pt>
                <c:pt idx="25">
                  <c:v>8020676.4299999997</c:v>
                </c:pt>
                <c:pt idx="26">
                  <c:v>8062780.8300000001</c:v>
                </c:pt>
                <c:pt idx="27">
                  <c:v>8458666.7699999996</c:v>
                </c:pt>
                <c:pt idx="28">
                  <c:v>8727764.25</c:v>
                </c:pt>
                <c:pt idx="29">
                  <c:v>8321597.46</c:v>
                </c:pt>
                <c:pt idx="30">
                  <c:v>8356229.5999999996</c:v>
                </c:pt>
                <c:pt idx="31">
                  <c:v>8698051.1899999995</c:v>
                </c:pt>
                <c:pt idx="32">
                  <c:v>8528455.0199999996</c:v>
                </c:pt>
                <c:pt idx="33">
                  <c:v>8824821.75</c:v>
                </c:pt>
                <c:pt idx="34">
                  <c:v>8562496.2300000004</c:v>
                </c:pt>
                <c:pt idx="35">
                  <c:v>8641301.9199999999</c:v>
                </c:pt>
                <c:pt idx="36">
                  <c:v>8401821.7699999996</c:v>
                </c:pt>
                <c:pt idx="37">
                  <c:v>7710832.3099999996</c:v>
                </c:pt>
                <c:pt idx="38">
                  <c:v>8570488.75</c:v>
                </c:pt>
                <c:pt idx="39">
                  <c:v>8416905.0299999993</c:v>
                </c:pt>
                <c:pt idx="40">
                  <c:v>8530035.1600000001</c:v>
                </c:pt>
                <c:pt idx="41">
                  <c:v>7902776.2300000004</c:v>
                </c:pt>
                <c:pt idx="42">
                  <c:v>8334777.4199999999</c:v>
                </c:pt>
                <c:pt idx="43">
                  <c:v>8797075.4900000002</c:v>
                </c:pt>
                <c:pt idx="44">
                  <c:v>8536525.6899999995</c:v>
                </c:pt>
                <c:pt idx="45">
                  <c:v>8651716.8800000008</c:v>
                </c:pt>
                <c:pt idx="46">
                  <c:v>8596505.6099999994</c:v>
                </c:pt>
                <c:pt idx="47">
                  <c:v>8871026.8900000006</c:v>
                </c:pt>
                <c:pt idx="48">
                  <c:v>8887645.2300000004</c:v>
                </c:pt>
                <c:pt idx="49">
                  <c:v>7794690.9800000004</c:v>
                </c:pt>
                <c:pt idx="50">
                  <c:v>8266256.0800000001</c:v>
                </c:pt>
                <c:pt idx="51">
                  <c:v>8268256.7699999996</c:v>
                </c:pt>
                <c:pt idx="52">
                  <c:v>8669946.3499999996</c:v>
                </c:pt>
                <c:pt idx="53">
                  <c:v>8231830.0999999996</c:v>
                </c:pt>
                <c:pt idx="54">
                  <c:v>9006695.5299999993</c:v>
                </c:pt>
                <c:pt idx="55">
                  <c:v>8395608.9499999993</c:v>
                </c:pt>
                <c:pt idx="56">
                  <c:v>7917016.2199999997</c:v>
                </c:pt>
                <c:pt idx="57">
                  <c:v>8881475.1300000008</c:v>
                </c:pt>
                <c:pt idx="58">
                  <c:v>8405329.2899999991</c:v>
                </c:pt>
                <c:pt idx="59">
                  <c:v>8796485.6500000004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E-4F05-BAE7-E38B313D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972240"/>
        <c:axId val="1626249344"/>
      </c:lineChart>
      <c:dateAx>
        <c:axId val="1747972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26249344"/>
        <c:crosses val="autoZero"/>
        <c:auto val="1"/>
        <c:lblOffset val="100"/>
        <c:baseTimeUnit val="months"/>
      </c:dateAx>
      <c:valAx>
        <c:axId val="16262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47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 b="0" i="0" u="none" strike="noStrike" baseline="0"/>
              <a:t>Monthly Profit Trend</a:t>
            </a:r>
            <a:r>
              <a:rPr lang="en-US" sz="1400" b="0" i="0" u="none" strike="noStrike" baseline="0"/>
              <a:t> </a:t>
            </a:r>
            <a:r>
              <a:rPr lang="en-PK" sz="1400" b="0" i="0" u="none" strike="noStrike" baseline="0"/>
              <a:t> (2022–2026)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15799429669603"/>
          <c:y val="0.1691874652220734"/>
          <c:w val="0.86385446815004618"/>
          <c:h val="0.67093777203727034"/>
        </c:manualLayout>
      </c:layout>
      <c:lineChart>
        <c:grouping val="standard"/>
        <c:varyColors val="0"/>
        <c:ser>
          <c:idx val="0"/>
          <c:order val="0"/>
          <c:tx>
            <c:strRef>
              <c:f>MonthlySalesAnalysis!$I$1</c:f>
              <c:strCache>
                <c:ptCount val="1"/>
                <c:pt idx="0">
                  <c:v>NetSales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MonthlySalesAnalysis!$D$2:$D$61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MonthlySalesAnalysis!$J$2:$J$61</c:f>
              <c:numCache>
                <c:formatCode>General</c:formatCode>
                <c:ptCount val="60"/>
                <c:pt idx="0">
                  <c:v>2818249.06</c:v>
                </c:pt>
                <c:pt idx="1">
                  <c:v>2292859.4700000002</c:v>
                </c:pt>
                <c:pt idx="2">
                  <c:v>2819630.4</c:v>
                </c:pt>
                <c:pt idx="3">
                  <c:v>2484083.75</c:v>
                </c:pt>
                <c:pt idx="4">
                  <c:v>2674947.9300000002</c:v>
                </c:pt>
                <c:pt idx="5">
                  <c:v>2370770.87</c:v>
                </c:pt>
                <c:pt idx="6">
                  <c:v>2160852.1</c:v>
                </c:pt>
                <c:pt idx="7">
                  <c:v>2633451.7200000002</c:v>
                </c:pt>
                <c:pt idx="8">
                  <c:v>2674073.85</c:v>
                </c:pt>
                <c:pt idx="9">
                  <c:v>2700171.93</c:v>
                </c:pt>
                <c:pt idx="10">
                  <c:v>2676016.59</c:v>
                </c:pt>
                <c:pt idx="11">
                  <c:v>2158395.21</c:v>
                </c:pt>
                <c:pt idx="12">
                  <c:v>2349545.17</c:v>
                </c:pt>
                <c:pt idx="13">
                  <c:v>2287109.0499999998</c:v>
                </c:pt>
                <c:pt idx="14">
                  <c:v>2548941.41</c:v>
                </c:pt>
                <c:pt idx="15">
                  <c:v>2550397.7799999998</c:v>
                </c:pt>
                <c:pt idx="16">
                  <c:v>2451555.2799999998</c:v>
                </c:pt>
                <c:pt idx="17">
                  <c:v>2492702.63</c:v>
                </c:pt>
                <c:pt idx="18">
                  <c:v>2770300.72</c:v>
                </c:pt>
                <c:pt idx="19">
                  <c:v>2617773.6</c:v>
                </c:pt>
                <c:pt idx="20">
                  <c:v>2601396.2400000002</c:v>
                </c:pt>
                <c:pt idx="21">
                  <c:v>2484907.34</c:v>
                </c:pt>
                <c:pt idx="22">
                  <c:v>2115632.94</c:v>
                </c:pt>
                <c:pt idx="23">
                  <c:v>2858650.63</c:v>
                </c:pt>
                <c:pt idx="24">
                  <c:v>2679127.38</c:v>
                </c:pt>
                <c:pt idx="25">
                  <c:v>2215392.98</c:v>
                </c:pt>
                <c:pt idx="26">
                  <c:v>2090507.61</c:v>
                </c:pt>
                <c:pt idx="27">
                  <c:v>2585959.3199999998</c:v>
                </c:pt>
                <c:pt idx="28">
                  <c:v>2582436.54</c:v>
                </c:pt>
                <c:pt idx="29">
                  <c:v>2584464.38</c:v>
                </c:pt>
                <c:pt idx="30">
                  <c:v>2256759.9700000002</c:v>
                </c:pt>
                <c:pt idx="31">
                  <c:v>2532470.08</c:v>
                </c:pt>
                <c:pt idx="32">
                  <c:v>2746538.84</c:v>
                </c:pt>
                <c:pt idx="33">
                  <c:v>2708901.4</c:v>
                </c:pt>
                <c:pt idx="34">
                  <c:v>2714569.36</c:v>
                </c:pt>
                <c:pt idx="35">
                  <c:v>2570378.21</c:v>
                </c:pt>
                <c:pt idx="36">
                  <c:v>2259807.96</c:v>
                </c:pt>
                <c:pt idx="37">
                  <c:v>2264496.5499999998</c:v>
                </c:pt>
                <c:pt idx="38">
                  <c:v>2472775.42</c:v>
                </c:pt>
                <c:pt idx="39">
                  <c:v>2603834.14</c:v>
                </c:pt>
                <c:pt idx="40">
                  <c:v>2496084.9900000002</c:v>
                </c:pt>
                <c:pt idx="41">
                  <c:v>1985047.23</c:v>
                </c:pt>
                <c:pt idx="42">
                  <c:v>2333413.5699999998</c:v>
                </c:pt>
                <c:pt idx="43">
                  <c:v>2697659.55</c:v>
                </c:pt>
                <c:pt idx="44">
                  <c:v>2636505.4900000002</c:v>
                </c:pt>
                <c:pt idx="45">
                  <c:v>2673406.4500000002</c:v>
                </c:pt>
                <c:pt idx="46">
                  <c:v>2617779.41</c:v>
                </c:pt>
                <c:pt idx="47">
                  <c:v>2809465.19</c:v>
                </c:pt>
                <c:pt idx="48">
                  <c:v>2845093.12</c:v>
                </c:pt>
                <c:pt idx="49">
                  <c:v>2292010.4700000002</c:v>
                </c:pt>
                <c:pt idx="50">
                  <c:v>2223058.1</c:v>
                </c:pt>
                <c:pt idx="51">
                  <c:v>2351366.9900000002</c:v>
                </c:pt>
                <c:pt idx="52">
                  <c:v>2581789.0499999998</c:v>
                </c:pt>
                <c:pt idx="53">
                  <c:v>2415429.7999999998</c:v>
                </c:pt>
                <c:pt idx="54">
                  <c:v>2829427.86</c:v>
                </c:pt>
                <c:pt idx="55">
                  <c:v>2388893.31</c:v>
                </c:pt>
                <c:pt idx="56">
                  <c:v>2040042.11</c:v>
                </c:pt>
                <c:pt idx="57">
                  <c:v>2802557.79</c:v>
                </c:pt>
                <c:pt idx="58">
                  <c:v>2536262.6</c:v>
                </c:pt>
                <c:pt idx="59">
                  <c:v>2712858.26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1F-4B2E-9981-8290BBBCB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972240"/>
        <c:axId val="1626249344"/>
      </c:lineChart>
      <c:dateAx>
        <c:axId val="1747972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26249344"/>
        <c:crosses val="autoZero"/>
        <c:auto val="1"/>
        <c:lblOffset val="100"/>
        <c:baseTimeUnit val="months"/>
      </c:dateAx>
      <c:valAx>
        <c:axId val="16262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47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>
                <a:effectLst/>
              </a:rPr>
              <a:t>Monthly Profit Margin Trend (2022–2026)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MonthlySalesAnalysis!$I$1</c:f>
              <c:strCache>
                <c:ptCount val="1"/>
                <c:pt idx="0">
                  <c:v>NetSales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MonthlySalesAnalysis!$D$2:$D$61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MonthlySalesAnalysis!$K$2:$K$61</c:f>
              <c:numCache>
                <c:formatCode>General</c:formatCode>
                <c:ptCount val="60"/>
                <c:pt idx="0">
                  <c:v>31.93</c:v>
                </c:pt>
                <c:pt idx="1">
                  <c:v>29.65</c:v>
                </c:pt>
                <c:pt idx="2">
                  <c:v>31.63</c:v>
                </c:pt>
                <c:pt idx="3">
                  <c:v>29.78</c:v>
                </c:pt>
                <c:pt idx="4">
                  <c:v>30.38</c:v>
                </c:pt>
                <c:pt idx="5">
                  <c:v>28.95</c:v>
                </c:pt>
                <c:pt idx="6">
                  <c:v>26.3</c:v>
                </c:pt>
                <c:pt idx="7">
                  <c:v>29.86</c:v>
                </c:pt>
                <c:pt idx="8">
                  <c:v>31.37</c:v>
                </c:pt>
                <c:pt idx="9">
                  <c:v>30.76</c:v>
                </c:pt>
                <c:pt idx="10">
                  <c:v>31.23</c:v>
                </c:pt>
                <c:pt idx="11">
                  <c:v>26.49</c:v>
                </c:pt>
                <c:pt idx="12">
                  <c:v>27.74</c:v>
                </c:pt>
                <c:pt idx="13">
                  <c:v>29.62</c:v>
                </c:pt>
                <c:pt idx="14">
                  <c:v>29.81</c:v>
                </c:pt>
                <c:pt idx="15">
                  <c:v>30.14</c:v>
                </c:pt>
                <c:pt idx="16">
                  <c:v>28.92</c:v>
                </c:pt>
                <c:pt idx="17">
                  <c:v>29.49</c:v>
                </c:pt>
                <c:pt idx="18">
                  <c:v>31.44</c:v>
                </c:pt>
                <c:pt idx="19">
                  <c:v>30.36</c:v>
                </c:pt>
                <c:pt idx="20">
                  <c:v>30.41</c:v>
                </c:pt>
                <c:pt idx="21">
                  <c:v>29.2</c:v>
                </c:pt>
                <c:pt idx="22">
                  <c:v>26.36</c:v>
                </c:pt>
                <c:pt idx="23">
                  <c:v>31.86</c:v>
                </c:pt>
                <c:pt idx="24">
                  <c:v>31.08</c:v>
                </c:pt>
                <c:pt idx="25">
                  <c:v>27.62</c:v>
                </c:pt>
                <c:pt idx="26">
                  <c:v>25.93</c:v>
                </c:pt>
                <c:pt idx="27">
                  <c:v>30.57</c:v>
                </c:pt>
                <c:pt idx="28">
                  <c:v>29.59</c:v>
                </c:pt>
                <c:pt idx="29">
                  <c:v>31.06</c:v>
                </c:pt>
                <c:pt idx="30">
                  <c:v>27.01</c:v>
                </c:pt>
                <c:pt idx="31">
                  <c:v>29.12</c:v>
                </c:pt>
                <c:pt idx="32">
                  <c:v>32.200000000000003</c:v>
                </c:pt>
                <c:pt idx="33">
                  <c:v>30.7</c:v>
                </c:pt>
                <c:pt idx="34">
                  <c:v>31.7</c:v>
                </c:pt>
                <c:pt idx="35">
                  <c:v>29.75</c:v>
                </c:pt>
                <c:pt idx="36">
                  <c:v>26.9</c:v>
                </c:pt>
                <c:pt idx="37">
                  <c:v>29.37</c:v>
                </c:pt>
                <c:pt idx="38">
                  <c:v>28.85</c:v>
                </c:pt>
                <c:pt idx="39">
                  <c:v>30.94</c:v>
                </c:pt>
                <c:pt idx="40">
                  <c:v>29.26</c:v>
                </c:pt>
                <c:pt idx="41">
                  <c:v>25.12</c:v>
                </c:pt>
                <c:pt idx="42">
                  <c:v>28</c:v>
                </c:pt>
                <c:pt idx="43">
                  <c:v>30.67</c:v>
                </c:pt>
                <c:pt idx="44">
                  <c:v>30.88</c:v>
                </c:pt>
                <c:pt idx="45">
                  <c:v>30.9</c:v>
                </c:pt>
                <c:pt idx="46">
                  <c:v>30.45</c:v>
                </c:pt>
                <c:pt idx="47">
                  <c:v>31.67</c:v>
                </c:pt>
                <c:pt idx="48">
                  <c:v>32.01</c:v>
                </c:pt>
                <c:pt idx="49">
                  <c:v>29.4</c:v>
                </c:pt>
                <c:pt idx="50">
                  <c:v>26.89</c:v>
                </c:pt>
                <c:pt idx="51">
                  <c:v>28.44</c:v>
                </c:pt>
                <c:pt idx="52">
                  <c:v>29.78</c:v>
                </c:pt>
                <c:pt idx="53">
                  <c:v>29.34</c:v>
                </c:pt>
                <c:pt idx="54">
                  <c:v>31.41</c:v>
                </c:pt>
                <c:pt idx="55">
                  <c:v>28.45</c:v>
                </c:pt>
                <c:pt idx="56">
                  <c:v>25.77</c:v>
                </c:pt>
                <c:pt idx="57">
                  <c:v>31.56</c:v>
                </c:pt>
                <c:pt idx="58">
                  <c:v>30.17</c:v>
                </c:pt>
                <c:pt idx="59">
                  <c:v>30.84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7-4FC3-BB20-84BC02E35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972240"/>
        <c:axId val="1626249344"/>
      </c:lineChart>
      <c:dateAx>
        <c:axId val="1747972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26249344"/>
        <c:crosses val="autoZero"/>
        <c:auto val="1"/>
        <c:lblOffset val="100"/>
        <c:baseTimeUnit val="months"/>
      </c:dateAx>
      <c:valAx>
        <c:axId val="16262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47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>
                <a:effectLst/>
              </a:rPr>
              <a:t>Monthly Discount Trend (2022–2026)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MonthlySalesAnalysis!$I$1</c:f>
              <c:strCache>
                <c:ptCount val="1"/>
                <c:pt idx="0">
                  <c:v>NetSales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MonthlySalesAnalysis!$D$2:$D$61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MonthlySalesAnalysis!$H$2:$H$61</c:f>
              <c:numCache>
                <c:formatCode>General</c:formatCode>
                <c:ptCount val="60"/>
                <c:pt idx="0">
                  <c:v>221243.79</c:v>
                </c:pt>
                <c:pt idx="1">
                  <c:v>478917.84</c:v>
                </c:pt>
                <c:pt idx="2">
                  <c:v>261332.98</c:v>
                </c:pt>
                <c:pt idx="3">
                  <c:v>472941.55</c:v>
                </c:pt>
                <c:pt idx="4">
                  <c:v>425027.58</c:v>
                </c:pt>
                <c:pt idx="5">
                  <c:v>573648.32999999996</c:v>
                </c:pt>
                <c:pt idx="6">
                  <c:v>900087.65</c:v>
                </c:pt>
                <c:pt idx="7">
                  <c:v>492848.54</c:v>
                </c:pt>
                <c:pt idx="8">
                  <c:v>275884.32</c:v>
                </c:pt>
                <c:pt idx="9">
                  <c:v>369527.29</c:v>
                </c:pt>
                <c:pt idx="10">
                  <c:v>311238.59999999998</c:v>
                </c:pt>
                <c:pt idx="11">
                  <c:v>872575.61</c:v>
                </c:pt>
                <c:pt idx="12">
                  <c:v>745902.4</c:v>
                </c:pt>
                <c:pt idx="13">
                  <c:v>468272.16</c:v>
                </c:pt>
                <c:pt idx="14">
                  <c:v>493807.48</c:v>
                </c:pt>
                <c:pt idx="15">
                  <c:v>436013.79</c:v>
                </c:pt>
                <c:pt idx="16">
                  <c:v>594857.71</c:v>
                </c:pt>
                <c:pt idx="17">
                  <c:v>513287.72</c:v>
                </c:pt>
                <c:pt idx="18">
                  <c:v>290784.51</c:v>
                </c:pt>
                <c:pt idx="19">
                  <c:v>416202.66</c:v>
                </c:pt>
                <c:pt idx="20">
                  <c:v>409559.52</c:v>
                </c:pt>
                <c:pt idx="21">
                  <c:v>562352.93000000005</c:v>
                </c:pt>
                <c:pt idx="22">
                  <c:v>880870.31</c:v>
                </c:pt>
                <c:pt idx="23">
                  <c:v>226144.7</c:v>
                </c:pt>
                <c:pt idx="24">
                  <c:v>330543.13</c:v>
                </c:pt>
                <c:pt idx="25">
                  <c:v>715197.57</c:v>
                </c:pt>
                <c:pt idx="26">
                  <c:v>934074.17</c:v>
                </c:pt>
                <c:pt idx="27">
                  <c:v>394867.23</c:v>
                </c:pt>
                <c:pt idx="28">
                  <c:v>514573.75</c:v>
                </c:pt>
                <c:pt idx="29">
                  <c:v>321671.53999999998</c:v>
                </c:pt>
                <c:pt idx="30">
                  <c:v>830440.4</c:v>
                </c:pt>
                <c:pt idx="31">
                  <c:v>589824.81000000006</c:v>
                </c:pt>
                <c:pt idx="32">
                  <c:v>175732.98</c:v>
                </c:pt>
                <c:pt idx="33">
                  <c:v>387733.25</c:v>
                </c:pt>
                <c:pt idx="34">
                  <c:v>237816.77</c:v>
                </c:pt>
                <c:pt idx="35">
                  <c:v>499869.08</c:v>
                </c:pt>
                <c:pt idx="36">
                  <c:v>853489.23</c:v>
                </c:pt>
                <c:pt idx="37">
                  <c:v>482877.69</c:v>
                </c:pt>
                <c:pt idx="38">
                  <c:v>613183.25</c:v>
                </c:pt>
                <c:pt idx="39">
                  <c:v>340186.97</c:v>
                </c:pt>
                <c:pt idx="40">
                  <c:v>555280.84</c:v>
                </c:pt>
                <c:pt idx="41">
                  <c:v>1009975.77</c:v>
                </c:pt>
                <c:pt idx="42">
                  <c:v>702153.58</c:v>
                </c:pt>
                <c:pt idx="43">
                  <c:v>392700.51</c:v>
                </c:pt>
                <c:pt idx="44">
                  <c:v>350040.31</c:v>
                </c:pt>
                <c:pt idx="45">
                  <c:v>344301.12</c:v>
                </c:pt>
                <c:pt idx="46">
                  <c:v>404743.39</c:v>
                </c:pt>
                <c:pt idx="47">
                  <c:v>255857.11</c:v>
                </c:pt>
                <c:pt idx="48">
                  <c:v>208439.77</c:v>
                </c:pt>
                <c:pt idx="49">
                  <c:v>499689.02</c:v>
                </c:pt>
                <c:pt idx="50">
                  <c:v>823666.92</c:v>
                </c:pt>
                <c:pt idx="51">
                  <c:v>639672.23</c:v>
                </c:pt>
                <c:pt idx="52">
                  <c:v>505187.65</c:v>
                </c:pt>
                <c:pt idx="53">
                  <c:v>523437.9</c:v>
                </c:pt>
                <c:pt idx="54">
                  <c:v>291330.46999999997</c:v>
                </c:pt>
                <c:pt idx="55">
                  <c:v>652184.05000000005</c:v>
                </c:pt>
                <c:pt idx="56">
                  <c:v>931695.78</c:v>
                </c:pt>
                <c:pt idx="57">
                  <c:v>279888.87</c:v>
                </c:pt>
                <c:pt idx="58">
                  <c:v>427534.71</c:v>
                </c:pt>
                <c:pt idx="59">
                  <c:v>365167.35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3-45D2-B0AF-40E5C3C12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972240"/>
        <c:axId val="1626249344"/>
      </c:lineChart>
      <c:dateAx>
        <c:axId val="1747972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26249344"/>
        <c:crosses val="autoZero"/>
        <c:auto val="1"/>
        <c:lblOffset val="100"/>
        <c:baseTimeUnit val="months"/>
      </c:dateAx>
      <c:valAx>
        <c:axId val="16262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4797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 b="0" i="0" u="none" strike="noStrike" baseline="0"/>
              <a:t>Net 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Analysis'!$B$1</c:f>
              <c:strCache>
                <c:ptCount val="1"/>
                <c:pt idx="0">
                  <c:v>NetSales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$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Analysis'!$A$2:$A$9</c:f>
              <c:strCache>
                <c:ptCount val="8"/>
                <c:pt idx="0">
                  <c:v>Mid Atlantic</c:v>
                </c:pt>
                <c:pt idx="1">
                  <c:v>Southeast</c:v>
                </c:pt>
                <c:pt idx="2">
                  <c:v>West</c:v>
                </c:pt>
                <c:pt idx="3">
                  <c:v>Midwest</c:v>
                </c:pt>
                <c:pt idx="4">
                  <c:v>Southwest</c:v>
                </c:pt>
                <c:pt idx="5">
                  <c:v>Northeast</c:v>
                </c:pt>
                <c:pt idx="6">
                  <c:v>South Central</c:v>
                </c:pt>
                <c:pt idx="7">
                  <c:v>Northwest</c:v>
                </c:pt>
              </c:strCache>
            </c:strRef>
          </c:cat>
          <c:val>
            <c:numRef>
              <c:f>'Regional Analysis'!$B$2:$B$9</c:f>
              <c:numCache>
                <c:formatCode>General</c:formatCode>
                <c:ptCount val="8"/>
                <c:pt idx="0">
                  <c:v>88180372.700000003</c:v>
                </c:pt>
                <c:pt idx="1">
                  <c:v>67645809.840000004</c:v>
                </c:pt>
                <c:pt idx="2">
                  <c:v>67625717.819999993</c:v>
                </c:pt>
                <c:pt idx="3">
                  <c:v>61144731.109999999</c:v>
                </c:pt>
                <c:pt idx="4">
                  <c:v>61081393.020000003</c:v>
                </c:pt>
                <c:pt idx="5">
                  <c:v>60936512.030000001</c:v>
                </c:pt>
                <c:pt idx="6">
                  <c:v>54321755.280000001</c:v>
                </c:pt>
                <c:pt idx="7">
                  <c:v>47227240.060000002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6-4A02-9713-2790E827A9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00798768"/>
        <c:axId val="1489437824"/>
      </c:barChart>
      <c:catAx>
        <c:axId val="150079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89437824"/>
        <c:crosses val="autoZero"/>
        <c:auto val="1"/>
        <c:lblAlgn val="ctr"/>
        <c:lblOffset val="100"/>
        <c:noMultiLvlLbl val="0"/>
      </c:catAx>
      <c:valAx>
        <c:axId val="148943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0079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</a:t>
            </a:r>
            <a:r>
              <a:rPr lang="en-PK" sz="1400" b="0" i="0" u="none" strike="noStrike" baseline="0"/>
              <a:t>op 10 Products by Total Profit.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Analysis'!$E$1</c:f>
              <c:strCache>
                <c:ptCount val="1"/>
                <c:pt idx="0">
                  <c:v>TotalProfit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Analysis'!$A$2:$A$11</c:f>
              <c:strCache>
                <c:ptCount val="10"/>
                <c:pt idx="0">
                  <c:v>LG Smartphones Standard 211</c:v>
                </c:pt>
                <c:pt idx="1">
                  <c:v>Sony Home Electronics Max 210</c:v>
                </c:pt>
                <c:pt idx="2">
                  <c:v>HP Gaming Max 158</c:v>
                </c:pt>
                <c:pt idx="3">
                  <c:v>Logitech Tablets Standard 263</c:v>
                </c:pt>
                <c:pt idx="4">
                  <c:v>Apple Televisions Plus 105</c:v>
                </c:pt>
                <c:pt idx="5">
                  <c:v>LG Smartphones Standard 51</c:v>
                </c:pt>
                <c:pt idx="6">
                  <c:v>Samsung Headphones Pro 104</c:v>
                </c:pt>
                <c:pt idx="7">
                  <c:v>Dell Laptops Pro 52</c:v>
                </c:pt>
                <c:pt idx="8">
                  <c:v>Lenovo Cameras Plus 157</c:v>
                </c:pt>
                <c:pt idx="9">
                  <c:v>Apple Computer Accessories Plus 209</c:v>
                </c:pt>
              </c:strCache>
            </c:strRef>
          </c:cat>
          <c:val>
            <c:numRef>
              <c:f>'Product Analysis'!$E$2:$E$11</c:f>
              <c:numCache>
                <c:formatCode>General</c:formatCode>
                <c:ptCount val="10"/>
                <c:pt idx="0">
                  <c:v>400740.74</c:v>
                </c:pt>
                <c:pt idx="1">
                  <c:v>398128.4</c:v>
                </c:pt>
                <c:pt idx="2">
                  <c:v>396943.86</c:v>
                </c:pt>
                <c:pt idx="3">
                  <c:v>396416.18</c:v>
                </c:pt>
                <c:pt idx="4">
                  <c:v>395599.35</c:v>
                </c:pt>
                <c:pt idx="5">
                  <c:v>394016.19</c:v>
                </c:pt>
                <c:pt idx="6">
                  <c:v>392578.12</c:v>
                </c:pt>
                <c:pt idx="7">
                  <c:v>391457.8</c:v>
                </c:pt>
                <c:pt idx="8">
                  <c:v>388582.88</c:v>
                </c:pt>
                <c:pt idx="9">
                  <c:v>387526.93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2-4E5A-9DB0-6604F9228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751184"/>
        <c:axId val="1489534784"/>
      </c:barChart>
      <c:catAx>
        <c:axId val="15057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89534784"/>
        <c:crosses val="autoZero"/>
        <c:auto val="1"/>
        <c:lblAlgn val="ctr"/>
        <c:lblOffset val="100"/>
        <c:noMultiLvlLbl val="0"/>
      </c:catAx>
      <c:valAx>
        <c:axId val="148953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0575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 b="0" i="0" u="none" strike="noStrike" baseline="0"/>
              <a:t>Net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'CategoryAnalysis'!$C$1</c:f>
              <c:strCache>
                <c:ptCount val="1"/>
                <c:pt idx="0">
                  <c:v>NetSales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'CategoryAnalysis'!$A$2:$A$7</c:f>
              <c:strCache>
                <c:ptCount val="6"/>
                <c:pt idx="0">
                  <c:v>Electronics</c:v>
                </c:pt>
                <c:pt idx="1">
                  <c:v>Home &amp; Living</c:v>
                </c:pt>
                <c:pt idx="2">
                  <c:v>Fashion</c:v>
                </c:pt>
                <c:pt idx="3">
                  <c:v>Sports &amp; Fitness</c:v>
                </c:pt>
                <c:pt idx="4">
                  <c:v>Beauty &amp; Personal Care</c:v>
                </c:pt>
                <c:pt idx="5">
                  <c:v>Grocery</c:v>
                </c:pt>
              </c:strCache>
            </c:strRef>
          </c:cat>
          <c:val>
            <c:numRef>
              <c:f>'CategoryAnalysis'!$C$2:$C$7</c:f>
              <c:numCache>
                <c:formatCode>General</c:formatCode>
                <c:ptCount val="6"/>
                <c:pt idx="0">
                  <c:v>247195755.31</c:v>
                </c:pt>
                <c:pt idx="1">
                  <c:v>126684060.75</c:v>
                </c:pt>
                <c:pt idx="2">
                  <c:v>65355345.149999999</c:v>
                </c:pt>
                <c:pt idx="3">
                  <c:v>32549849.93</c:v>
                </c:pt>
                <c:pt idx="4">
                  <c:v>25569795.66</c:v>
                </c:pt>
                <c:pt idx="5">
                  <c:v>10808725.060000001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6-430A-8C0F-595880E55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000688"/>
        <c:axId val="1468953536"/>
      </c:barChart>
      <c:catAx>
        <c:axId val="90800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68953536"/>
        <c:crosses val="autoZero"/>
        <c:auto val="1"/>
        <c:lblAlgn val="ctr"/>
        <c:lblOffset val="100"/>
        <c:noMultiLvlLbl val="0"/>
      </c:catAx>
      <c:valAx>
        <c:axId val="14689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0800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578128</xdr:colOff>
      <xdr:row>0</xdr:row>
      <xdr:rowOff>21359</xdr:rowOff>
    </xdr:from>
    <xdr:to>
      <xdr:col>19</xdr:col>
      <xdr:colOff>233612</xdr:colOff>
      <xdr:row>14</xdr:row>
      <xdr:rowOff>128906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B24188-7372-D78F-0479-5927624AD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9259</xdr:colOff>
      <xdr:row>16</xdr:row>
      <xdr:rowOff>20470</xdr:rowOff>
    </xdr:from>
    <xdr:to>
      <xdr:col>19</xdr:col>
      <xdr:colOff>284190</xdr:colOff>
      <xdr:row>30</xdr:row>
      <xdr:rowOff>128016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8AEB3-7C54-4748-A24A-A3F98A27D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29350</xdr:colOff>
      <xdr:row>0</xdr:row>
      <xdr:rowOff>10673</xdr:rowOff>
    </xdr:from>
    <xdr:to>
      <xdr:col>27</xdr:col>
      <xdr:colOff>292720</xdr:colOff>
      <xdr:row>14</xdr:row>
      <xdr:rowOff>118219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4592DF-72D1-4002-A0E4-F0CA0F5D8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586229</xdr:colOff>
      <xdr:row>16</xdr:row>
      <xdr:rowOff>20485</xdr:rowOff>
    </xdr:from>
    <xdr:to>
      <xdr:col>27</xdr:col>
      <xdr:colOff>244837</xdr:colOff>
      <xdr:row>30</xdr:row>
      <xdr:rowOff>128031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7A0C4A-F733-4E21-A4CC-C2745DE1E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2071</xdr:colOff>
      <xdr:row>0</xdr:row>
      <xdr:rowOff>103739</xdr:rowOff>
    </xdr:from>
    <xdr:to>
      <xdr:col>10</xdr:col>
      <xdr:colOff>298174</xdr:colOff>
      <xdr:row>8</xdr:row>
      <xdr:rowOff>175798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13815-4042-8305-7239-95678C354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0</xdr:row>
      <xdr:rowOff>23812</xdr:rowOff>
    </xdr:from>
    <xdr:to>
      <xdr:col>13</xdr:col>
      <xdr:colOff>476250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CD220-D576-0823-4D76-0B51074D9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512875</xdr:colOff>
      <xdr:row>0</xdr:row>
      <xdr:rowOff>0</xdr:rowOff>
    </xdr:from>
    <xdr:to>
      <xdr:col>13</xdr:col>
      <xdr:colOff>213978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CB354-6B3F-5B71-0DE5-8573BCABF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0C83CF2-D61B-4AA4-9DAC-1EE4CD0CCC4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DC8028-61A1-4022-981F-84446384AF8F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C74BB-A94E-449A-8888-28D1D6AC1807}" name="Table1" displayName="Table1" ref="A1:K61" totalsRowShown="0">
  <autoFilter ref="A1:K61" xr:uid="{531C74BB-A94E-449A-8888-28D1D6AC1807}"/>
  <sortState xmlns:xlrd2="http://schemas.microsoft.com/office/spreadsheetml/2017/richdata2" ref="A2:K61">
    <sortCondition ref="D1:D61"/>
  </sortState>
  <tableColumns count="11">
    <tableColumn id="1" xr3:uid="{C2F88F65-C507-4B1A-9432-9C5A8DE6ADE3}" name="YearNumber"/>
    <tableColumn id="2" xr3:uid="{6071B16B-E806-489C-92A7-85F33073AA98}" name="MonthNumber"/>
    <tableColumn id="3" xr3:uid="{CAAFD469-6339-4177-9C66-1D4BACF8573E}" name="MonthName"/>
    <tableColumn id="12" xr3:uid="{23EEB6F3-02F3-4C1A-AE13-48AEE11C5FF0}" name="MonthYear" dataDxfId="17">
      <calculatedColumnFormula>DATE(A2,B2,1)</calculatedColumnFormula>
    </tableColumn>
    <tableColumn id="4" xr3:uid="{A6FA9C5D-F002-4AAA-A103-633D39DA7219}" name="TotalOrders"/>
    <tableColumn id="5" xr3:uid="{8D7AC020-10CE-4BDD-9A6F-DC53B7C13071}" name="UnitsSold"/>
    <tableColumn id="6" xr3:uid="{6231996B-3C0A-4C47-A96C-B3AAAB6EFDED}" name="GrossSales"/>
    <tableColumn id="7" xr3:uid="{8F0763EF-EA58-48F2-974A-5DBE76C6D1F3}" name="TotalDiscount"/>
    <tableColumn id="8" xr3:uid="{299B1E04-D6F4-42D7-BB08-995E13E0E5C4}" name="NetSales"/>
    <tableColumn id="9" xr3:uid="{DC79E118-970C-4743-A34A-1A840C5C449E}" name="TotalProfit"/>
    <tableColumn id="10" xr3:uid="{6E078D67-F9DB-4BBE-9352-D11B0824334C}" name="ProfitMargin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A88A1E-CF93-444D-9B44-D29ABE588D45}" name="Table2" displayName="Table2" ref="A1:B9" totalsRowShown="0" headerRowDxfId="16" dataDxfId="15">
  <autoFilter ref="A1:B9" xr:uid="{19A88A1E-CF93-444D-9B44-D29ABE588D45}"/>
  <sortState xmlns:xlrd2="http://schemas.microsoft.com/office/spreadsheetml/2017/richdata2" ref="A2:B9">
    <sortCondition descending="1" ref="B1:B9"/>
  </sortState>
  <tableColumns count="2">
    <tableColumn id="1" xr3:uid="{0DEC6D15-D528-4691-8D5F-41F720452D57}" name="RegionName" dataDxfId="14"/>
    <tableColumn id="2" xr3:uid="{CC6855EB-44EB-4BC9-B2A5-3F8139AAE10F}" name="NetSales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FE79E7-3C2E-42CB-8B3C-9C662A4FCE30}" name="Top10ProductsByProfit" displayName="Top10ProductsByProfit" ref="A1:F11" tableType="queryTable" totalsRowShown="0" dataDxfId="12">
  <autoFilter ref="A1:F11" xr:uid="{1BFE79E7-3C2E-42CB-8B3C-9C662A4FCE30}"/>
  <tableColumns count="6">
    <tableColumn id="1" xr3:uid="{C3BF1968-80FF-4FC1-9BC4-617403172517}" uniqueName="1" name="ProductName" queryTableFieldId="1" dataDxfId="11"/>
    <tableColumn id="2" xr3:uid="{8909966E-54D7-411D-A5D5-C74502C8F25F}" uniqueName="2" name="Cateogry" queryTableFieldId="2" dataDxfId="10"/>
    <tableColumn id="3" xr3:uid="{7D781DAC-E2F4-4B4C-971E-2CCB157DD11F}" uniqueName="3" name="UnitsSold" queryTableFieldId="3" dataDxfId="9"/>
    <tableColumn id="4" xr3:uid="{8499ECAF-3726-455D-A0EC-2EA187EE64DE}" uniqueName="4" name="NetsSales" queryTableFieldId="4" dataDxfId="8"/>
    <tableColumn id="5" xr3:uid="{F99CA45A-B731-44AB-8E0C-60BD2AA58393}" uniqueName="5" name="TotalProfit" queryTableFieldId="5" dataDxfId="7"/>
    <tableColumn id="6" xr3:uid="{A0F0F7F3-D62B-411E-94B7-001BE2CE42C1}" uniqueName="6" name="ProfitMarginPercetage" queryTableFieldId="6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0749AA-8B4E-472C-87E6-22CDA7EEBA3B}" name="CategoryAnalysis" displayName="CategoryAnalysis" ref="A1:E7" tableType="queryTable" totalsRowShown="0" dataDxfId="5">
  <autoFilter ref="A1:E7" xr:uid="{2A0749AA-8B4E-472C-87E6-22CDA7EEBA3B}"/>
  <tableColumns count="5">
    <tableColumn id="1" xr3:uid="{1D6158F0-7506-4504-A513-DE154A738548}" uniqueName="1" name="Category" queryTableFieldId="1" dataDxfId="4"/>
    <tableColumn id="2" xr3:uid="{6B8B8601-ED6C-40EA-BF2F-6121DDE9663D}" uniqueName="2" name="UnitsSold" queryTableFieldId="2" dataDxfId="3"/>
    <tableColumn id="3" xr3:uid="{C1F5B887-B917-4E77-8511-28CF6BD03861}" uniqueName="3" name="NetSales" queryTableFieldId="3" dataDxfId="2"/>
    <tableColumn id="4" xr3:uid="{4C68BCE6-A250-4244-8A47-EF422F48606F}" uniqueName="4" name="TotalProfit" queryTableFieldId="4" dataDxfId="1"/>
    <tableColumn id="5" xr3:uid="{D898F41C-1A0F-41F0-BBE2-51DAFE809E54}" uniqueName="5" name="ProfitMarginPercentag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1D12-E2D5-43FA-85CA-B98901CFFA8D}">
  <sheetPr>
    <tabColor rgb="FFFF0000"/>
  </sheetPr>
  <dimension ref="A1:K61"/>
  <sheetViews>
    <sheetView tabSelected="1" topLeftCell="C1" zoomScale="63" workbookViewId="0">
      <selection activeCell="D2" sqref="D2"/>
    </sheetView>
  </sheetViews>
  <sheetFormatPr defaultRowHeight="15"/>
  <cols>
    <col min="1" max="1" width="14.42578125" customWidth="1"/>
    <col min="2" max="2" width="15.85546875" customWidth="1"/>
    <col min="3" max="3" width="19.85546875" bestFit="1" customWidth="1"/>
    <col min="4" max="4" width="18.28515625" style="2" bestFit="1" customWidth="1"/>
    <col min="5" max="5" width="19.7109375" bestFit="1" customWidth="1"/>
    <col min="6" max="6" width="15.85546875" bestFit="1" customWidth="1"/>
    <col min="7" max="7" width="19.140625" bestFit="1" customWidth="1"/>
    <col min="8" max="8" width="22.42578125" bestFit="1" customWidth="1"/>
    <col min="9" max="9" width="16" bestFit="1" customWidth="1"/>
    <col min="10" max="10" width="18.5703125" bestFit="1" customWidth="1"/>
    <col min="11" max="11" width="30.140625" bestFit="1" customWidth="1"/>
  </cols>
  <sheetData>
    <row r="1" spans="1:11">
      <c r="A1" t="s">
        <v>12</v>
      </c>
      <c r="B1" s="1" t="s">
        <v>13</v>
      </c>
      <c r="C1" t="s">
        <v>14</v>
      </c>
      <c r="D1" s="2" t="s">
        <v>22</v>
      </c>
      <c r="E1" t="s">
        <v>15</v>
      </c>
      <c r="F1" s="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>
        <v>2022</v>
      </c>
      <c r="B2">
        <v>1</v>
      </c>
      <c r="C2" t="s">
        <v>0</v>
      </c>
      <c r="D2" s="2">
        <v>44562</v>
      </c>
      <c r="E2">
        <v>5254</v>
      </c>
      <c r="F2">
        <v>22806</v>
      </c>
      <c r="G2">
        <v>9047611</v>
      </c>
      <c r="H2">
        <v>221243.79</v>
      </c>
      <c r="I2">
        <v>8826367.2100000009</v>
      </c>
      <c r="J2">
        <v>2818249.06</v>
      </c>
      <c r="K2">
        <v>31.93</v>
      </c>
    </row>
    <row r="3" spans="1:11">
      <c r="A3">
        <v>2022</v>
      </c>
      <c r="B3">
        <v>2</v>
      </c>
      <c r="C3" t="s">
        <v>1</v>
      </c>
      <c r="D3" s="2">
        <f>DATE(A3,B3,1)</f>
        <v>44593</v>
      </c>
      <c r="E3">
        <v>4767</v>
      </c>
      <c r="F3">
        <v>20706</v>
      </c>
      <c r="G3">
        <v>8212572</v>
      </c>
      <c r="H3">
        <v>478917.84</v>
      </c>
      <c r="I3">
        <v>7733654.1600000001</v>
      </c>
      <c r="J3">
        <v>2292859.4700000002</v>
      </c>
      <c r="K3">
        <v>29.65</v>
      </c>
    </row>
    <row r="4" spans="1:11">
      <c r="A4">
        <v>2022</v>
      </c>
      <c r="B4">
        <v>3</v>
      </c>
      <c r="C4" t="s">
        <v>2</v>
      </c>
      <c r="D4" s="2">
        <f>DATE(A4,B4,1)</f>
        <v>44621</v>
      </c>
      <c r="E4">
        <v>5263</v>
      </c>
      <c r="F4">
        <v>23045</v>
      </c>
      <c r="G4">
        <v>9175596</v>
      </c>
      <c r="H4">
        <v>261332.98</v>
      </c>
      <c r="I4">
        <v>8914263.0199999996</v>
      </c>
      <c r="J4">
        <v>2819630.4</v>
      </c>
      <c r="K4">
        <v>31.63</v>
      </c>
    </row>
    <row r="5" spans="1:11">
      <c r="A5">
        <v>2022</v>
      </c>
      <c r="B5">
        <v>4</v>
      </c>
      <c r="C5" t="s">
        <v>3</v>
      </c>
      <c r="D5" s="2">
        <f>DATE(A5,B5,1)</f>
        <v>44652</v>
      </c>
      <c r="E5">
        <v>5093</v>
      </c>
      <c r="F5">
        <v>21967</v>
      </c>
      <c r="G5">
        <v>8815448</v>
      </c>
      <c r="H5">
        <v>472941.55</v>
      </c>
      <c r="I5">
        <v>8342506.4500000002</v>
      </c>
      <c r="J5">
        <v>2484083.75</v>
      </c>
      <c r="K5">
        <v>29.78</v>
      </c>
    </row>
    <row r="6" spans="1:11">
      <c r="A6">
        <v>2022</v>
      </c>
      <c r="B6">
        <v>5</v>
      </c>
      <c r="C6" t="s">
        <v>4</v>
      </c>
      <c r="D6" s="2">
        <f>DATE(A6,B6,1)</f>
        <v>44682</v>
      </c>
      <c r="E6">
        <v>5278</v>
      </c>
      <c r="F6">
        <v>23119</v>
      </c>
      <c r="G6">
        <v>9229351</v>
      </c>
      <c r="H6">
        <v>425027.58</v>
      </c>
      <c r="I6">
        <v>8804323.4199999999</v>
      </c>
      <c r="J6">
        <v>2674947.9300000002</v>
      </c>
      <c r="K6">
        <v>30.38</v>
      </c>
    </row>
    <row r="7" spans="1:11">
      <c r="A7">
        <v>2022</v>
      </c>
      <c r="B7">
        <v>6</v>
      </c>
      <c r="C7" t="s">
        <v>5</v>
      </c>
      <c r="D7" s="2">
        <f>DATE(A7,B7,1)</f>
        <v>44713</v>
      </c>
      <c r="E7">
        <v>5090</v>
      </c>
      <c r="F7">
        <v>22079</v>
      </c>
      <c r="G7">
        <v>8762877</v>
      </c>
      <c r="H7">
        <v>573648.32999999996</v>
      </c>
      <c r="I7">
        <v>8189228.6699999999</v>
      </c>
      <c r="J7">
        <v>2370770.87</v>
      </c>
      <c r="K7">
        <v>28.95</v>
      </c>
    </row>
    <row r="8" spans="1:11">
      <c r="A8">
        <v>2022</v>
      </c>
      <c r="B8">
        <v>7</v>
      </c>
      <c r="C8" t="s">
        <v>6</v>
      </c>
      <c r="D8" s="2">
        <f>DATE(A8,B8,1)</f>
        <v>44743</v>
      </c>
      <c r="E8">
        <v>5257</v>
      </c>
      <c r="F8">
        <v>22795</v>
      </c>
      <c r="G8">
        <v>9116816</v>
      </c>
      <c r="H8">
        <v>900087.65</v>
      </c>
      <c r="I8">
        <v>8216728.3499999996</v>
      </c>
      <c r="J8">
        <v>2160852.1</v>
      </c>
      <c r="K8">
        <v>26.3</v>
      </c>
    </row>
    <row r="9" spans="1:11">
      <c r="A9">
        <v>2022</v>
      </c>
      <c r="B9">
        <v>8</v>
      </c>
      <c r="C9" t="s">
        <v>7</v>
      </c>
      <c r="D9" s="2">
        <f>DATE(A9,B9,1)</f>
        <v>44774</v>
      </c>
      <c r="E9">
        <v>5284</v>
      </c>
      <c r="F9">
        <v>23214</v>
      </c>
      <c r="G9">
        <v>9313365</v>
      </c>
      <c r="H9">
        <v>492848.54</v>
      </c>
      <c r="I9">
        <v>8820516.4600000009</v>
      </c>
      <c r="J9">
        <v>2633451.7200000002</v>
      </c>
      <c r="K9">
        <v>29.86</v>
      </c>
    </row>
    <row r="10" spans="1:11">
      <c r="A10">
        <v>2022</v>
      </c>
      <c r="B10">
        <v>9</v>
      </c>
      <c r="C10" t="s">
        <v>8</v>
      </c>
      <c r="D10" s="2">
        <f>DATE(A10,B10,1)</f>
        <v>44805</v>
      </c>
      <c r="E10">
        <v>5090</v>
      </c>
      <c r="F10">
        <v>21871</v>
      </c>
      <c r="G10">
        <v>8799429</v>
      </c>
      <c r="H10">
        <v>275884.32</v>
      </c>
      <c r="I10">
        <v>8523544.6799999997</v>
      </c>
      <c r="J10">
        <v>2674073.85</v>
      </c>
      <c r="K10">
        <v>31.37</v>
      </c>
    </row>
    <row r="11" spans="1:11">
      <c r="A11">
        <v>2022</v>
      </c>
      <c r="B11">
        <v>10</v>
      </c>
      <c r="C11" t="s">
        <v>9</v>
      </c>
      <c r="D11" s="2">
        <f>DATE(A11,B11,1)</f>
        <v>44835</v>
      </c>
      <c r="E11">
        <v>5257</v>
      </c>
      <c r="F11">
        <v>22987</v>
      </c>
      <c r="G11">
        <v>9148883</v>
      </c>
      <c r="H11">
        <v>369527.29</v>
      </c>
      <c r="I11">
        <v>8779355.7100000009</v>
      </c>
      <c r="J11">
        <v>2700171.93</v>
      </c>
      <c r="K11">
        <v>30.76</v>
      </c>
    </row>
    <row r="12" spans="1:11">
      <c r="A12">
        <v>2022</v>
      </c>
      <c r="B12">
        <v>11</v>
      </c>
      <c r="C12" t="s">
        <v>10</v>
      </c>
      <c r="D12" s="2">
        <f>DATE(A12,B12,1)</f>
        <v>44866</v>
      </c>
      <c r="E12">
        <v>5113</v>
      </c>
      <c r="F12">
        <v>22361</v>
      </c>
      <c r="G12">
        <v>8881148</v>
      </c>
      <c r="H12">
        <v>311238.59999999998</v>
      </c>
      <c r="I12">
        <v>8569909.4000000004</v>
      </c>
      <c r="J12">
        <v>2676016.59</v>
      </c>
      <c r="K12">
        <v>31.23</v>
      </c>
    </row>
    <row r="13" spans="1:11">
      <c r="A13">
        <v>2022</v>
      </c>
      <c r="B13">
        <v>12</v>
      </c>
      <c r="C13" t="s">
        <v>11</v>
      </c>
      <c r="D13" s="2">
        <f>DATE(A13,B13,1)</f>
        <v>44896</v>
      </c>
      <c r="E13">
        <v>5254</v>
      </c>
      <c r="F13">
        <v>22587</v>
      </c>
      <c r="G13">
        <v>9020825</v>
      </c>
      <c r="H13">
        <v>872575.61</v>
      </c>
      <c r="I13">
        <v>8148249.3899999997</v>
      </c>
      <c r="J13">
        <v>2158395.21</v>
      </c>
      <c r="K13">
        <v>26.49</v>
      </c>
    </row>
    <row r="14" spans="1:11">
      <c r="A14">
        <v>2023</v>
      </c>
      <c r="B14">
        <v>1</v>
      </c>
      <c r="C14" t="s">
        <v>0</v>
      </c>
      <c r="D14" s="2">
        <f>DATE(A14,B14,1)</f>
        <v>44927</v>
      </c>
      <c r="E14">
        <v>5262</v>
      </c>
      <c r="F14">
        <v>23131</v>
      </c>
      <c r="G14">
        <v>9214984</v>
      </c>
      <c r="H14">
        <v>745902.4</v>
      </c>
      <c r="I14">
        <v>8469081.5999999996</v>
      </c>
      <c r="J14">
        <v>2349545.17</v>
      </c>
      <c r="K14">
        <v>27.74</v>
      </c>
    </row>
    <row r="15" spans="1:11">
      <c r="A15">
        <v>2023</v>
      </c>
      <c r="B15">
        <v>2</v>
      </c>
      <c r="C15" t="s">
        <v>1</v>
      </c>
      <c r="D15" s="2">
        <f>DATE(A15,B15,1)</f>
        <v>44958</v>
      </c>
      <c r="E15">
        <v>4773</v>
      </c>
      <c r="F15">
        <v>20651</v>
      </c>
      <c r="G15">
        <v>8190611</v>
      </c>
      <c r="H15">
        <v>468272.16</v>
      </c>
      <c r="I15">
        <v>7722338.8399999999</v>
      </c>
      <c r="J15">
        <v>2287109.0499999998</v>
      </c>
      <c r="K15">
        <v>29.62</v>
      </c>
    </row>
    <row r="16" spans="1:11">
      <c r="A16">
        <v>2023</v>
      </c>
      <c r="B16">
        <v>3</v>
      </c>
      <c r="C16" t="s">
        <v>2</v>
      </c>
      <c r="D16" s="2">
        <f>DATE(A16,B16,1)</f>
        <v>44986</v>
      </c>
      <c r="E16">
        <v>5254</v>
      </c>
      <c r="F16">
        <v>22786</v>
      </c>
      <c r="G16">
        <v>9045099</v>
      </c>
      <c r="H16">
        <v>493807.48</v>
      </c>
      <c r="I16">
        <v>8551291.5199999996</v>
      </c>
      <c r="J16">
        <v>2548941.41</v>
      </c>
      <c r="K16">
        <v>29.81</v>
      </c>
    </row>
    <row r="17" spans="1:11">
      <c r="A17">
        <v>2023</v>
      </c>
      <c r="B17">
        <v>4</v>
      </c>
      <c r="C17" t="s">
        <v>3</v>
      </c>
      <c r="D17" s="2">
        <f>DATE(A17,B17,1)</f>
        <v>45017</v>
      </c>
      <c r="E17">
        <v>5097</v>
      </c>
      <c r="F17">
        <v>22446</v>
      </c>
      <c r="G17">
        <v>8897380</v>
      </c>
      <c r="H17">
        <v>436013.79</v>
      </c>
      <c r="I17">
        <v>8461366.2100000009</v>
      </c>
      <c r="J17">
        <v>2550397.7799999998</v>
      </c>
      <c r="K17">
        <v>30.14</v>
      </c>
    </row>
    <row r="18" spans="1:11">
      <c r="A18">
        <v>2023</v>
      </c>
      <c r="B18">
        <v>5</v>
      </c>
      <c r="C18" t="s">
        <v>4</v>
      </c>
      <c r="D18" s="2">
        <f>DATE(A18,B18,1)</f>
        <v>45047</v>
      </c>
      <c r="E18">
        <v>5274</v>
      </c>
      <c r="F18">
        <v>22660</v>
      </c>
      <c r="G18">
        <v>9073318</v>
      </c>
      <c r="H18">
        <v>594857.71</v>
      </c>
      <c r="I18">
        <v>8478460.2899999991</v>
      </c>
      <c r="J18">
        <v>2451555.2799999998</v>
      </c>
      <c r="K18">
        <v>28.92</v>
      </c>
    </row>
    <row r="19" spans="1:11">
      <c r="A19">
        <v>2023</v>
      </c>
      <c r="B19">
        <v>6</v>
      </c>
      <c r="C19" t="s">
        <v>5</v>
      </c>
      <c r="D19" s="2">
        <f>DATE(A19,B19,1)</f>
        <v>45078</v>
      </c>
      <c r="E19">
        <v>5087</v>
      </c>
      <c r="F19">
        <v>22259</v>
      </c>
      <c r="G19">
        <v>8966062</v>
      </c>
      <c r="H19">
        <v>513287.72</v>
      </c>
      <c r="I19">
        <v>8452774.2799999993</v>
      </c>
      <c r="J19">
        <v>2492702.63</v>
      </c>
      <c r="K19">
        <v>29.49</v>
      </c>
    </row>
    <row r="20" spans="1:11">
      <c r="A20">
        <v>2023</v>
      </c>
      <c r="B20">
        <v>7</v>
      </c>
      <c r="C20" t="s">
        <v>6</v>
      </c>
      <c r="D20" s="2">
        <f>DATE(A20,B20,1)</f>
        <v>45108</v>
      </c>
      <c r="E20">
        <v>5266</v>
      </c>
      <c r="F20">
        <v>22969</v>
      </c>
      <c r="G20">
        <v>9102080</v>
      </c>
      <c r="H20">
        <v>290784.51</v>
      </c>
      <c r="I20">
        <v>8811295.4900000002</v>
      </c>
      <c r="J20">
        <v>2770300.72</v>
      </c>
      <c r="K20">
        <v>31.44</v>
      </c>
    </row>
    <row r="21" spans="1:11">
      <c r="A21">
        <v>2023</v>
      </c>
      <c r="B21">
        <v>8</v>
      </c>
      <c r="C21" t="s">
        <v>7</v>
      </c>
      <c r="D21" s="2">
        <f>DATE(A21,B21,1)</f>
        <v>45139</v>
      </c>
      <c r="E21">
        <v>5270</v>
      </c>
      <c r="F21">
        <v>22746</v>
      </c>
      <c r="G21">
        <v>9037239</v>
      </c>
      <c r="H21">
        <v>416202.66</v>
      </c>
      <c r="I21">
        <v>8621036.3399999999</v>
      </c>
      <c r="J21">
        <v>2617773.6</v>
      </c>
      <c r="K21">
        <v>30.36</v>
      </c>
    </row>
    <row r="22" spans="1:11">
      <c r="A22">
        <v>2023</v>
      </c>
      <c r="B22">
        <v>9</v>
      </c>
      <c r="C22" t="s">
        <v>8</v>
      </c>
      <c r="D22" s="2">
        <f>DATE(A22,B22,1)</f>
        <v>45170</v>
      </c>
      <c r="E22">
        <v>5099</v>
      </c>
      <c r="F22">
        <v>22395</v>
      </c>
      <c r="G22">
        <v>8964867</v>
      </c>
      <c r="H22">
        <v>409559.52</v>
      </c>
      <c r="I22">
        <v>8555307.4800000004</v>
      </c>
      <c r="J22">
        <v>2601396.2400000002</v>
      </c>
      <c r="K22">
        <v>30.41</v>
      </c>
    </row>
    <row r="23" spans="1:11">
      <c r="A23">
        <v>2023</v>
      </c>
      <c r="B23">
        <v>10</v>
      </c>
      <c r="C23" t="s">
        <v>9</v>
      </c>
      <c r="D23" s="2">
        <f>DATE(A23,B23,1)</f>
        <v>45200</v>
      </c>
      <c r="E23">
        <v>5254</v>
      </c>
      <c r="F23">
        <v>22705</v>
      </c>
      <c r="G23">
        <v>9072811</v>
      </c>
      <c r="H23">
        <v>562352.93000000005</v>
      </c>
      <c r="I23">
        <v>8510458.0700000003</v>
      </c>
      <c r="J23">
        <v>2484907.34</v>
      </c>
      <c r="K23">
        <v>29.2</v>
      </c>
    </row>
    <row r="24" spans="1:11">
      <c r="A24">
        <v>2023</v>
      </c>
      <c r="B24">
        <v>11</v>
      </c>
      <c r="C24" t="s">
        <v>10</v>
      </c>
      <c r="D24" s="2">
        <f>DATE(A24,B24,1)</f>
        <v>45231</v>
      </c>
      <c r="E24">
        <v>5110</v>
      </c>
      <c r="F24">
        <v>22278</v>
      </c>
      <c r="G24">
        <v>8905284</v>
      </c>
      <c r="H24">
        <v>880870.31</v>
      </c>
      <c r="I24">
        <v>8024413.6900000004</v>
      </c>
      <c r="J24">
        <v>2115632.94</v>
      </c>
      <c r="K24">
        <v>26.36</v>
      </c>
    </row>
    <row r="25" spans="1:11">
      <c r="A25">
        <v>2023</v>
      </c>
      <c r="B25">
        <v>12</v>
      </c>
      <c r="C25" t="s">
        <v>11</v>
      </c>
      <c r="D25" s="2">
        <f>DATE(A25,B25,1)</f>
        <v>45261</v>
      </c>
      <c r="E25">
        <v>5269</v>
      </c>
      <c r="F25">
        <v>22999</v>
      </c>
      <c r="G25">
        <v>9197806</v>
      </c>
      <c r="H25">
        <v>226144.7</v>
      </c>
      <c r="I25">
        <v>8971661.3000000007</v>
      </c>
      <c r="J25">
        <v>2858650.63</v>
      </c>
      <c r="K25">
        <v>31.86</v>
      </c>
    </row>
    <row r="26" spans="1:11">
      <c r="A26">
        <v>2024</v>
      </c>
      <c r="B26">
        <v>1</v>
      </c>
      <c r="C26" t="s">
        <v>0</v>
      </c>
      <c r="D26" s="2">
        <f>DATE(A26,B26,1)</f>
        <v>45292</v>
      </c>
      <c r="E26">
        <v>5250</v>
      </c>
      <c r="F26">
        <v>22641</v>
      </c>
      <c r="G26">
        <v>8951378</v>
      </c>
      <c r="H26">
        <v>330543.13</v>
      </c>
      <c r="I26">
        <v>8620834.8699999992</v>
      </c>
      <c r="J26">
        <v>2679127.38</v>
      </c>
      <c r="K26">
        <v>31.08</v>
      </c>
    </row>
    <row r="27" spans="1:11">
      <c r="A27">
        <v>2024</v>
      </c>
      <c r="B27">
        <v>2</v>
      </c>
      <c r="C27" t="s">
        <v>1</v>
      </c>
      <c r="D27" s="2">
        <f>DATE(A27,B27,1)</f>
        <v>45323</v>
      </c>
      <c r="E27">
        <v>4946</v>
      </c>
      <c r="F27">
        <v>21740</v>
      </c>
      <c r="G27">
        <v>8735874</v>
      </c>
      <c r="H27">
        <v>715197.57</v>
      </c>
      <c r="I27">
        <v>8020676.4299999997</v>
      </c>
      <c r="J27">
        <v>2215392.98</v>
      </c>
      <c r="K27">
        <v>27.62</v>
      </c>
    </row>
    <row r="28" spans="1:11">
      <c r="A28">
        <v>2024</v>
      </c>
      <c r="B28">
        <v>3</v>
      </c>
      <c r="C28" t="s">
        <v>2</v>
      </c>
      <c r="D28" s="2">
        <f>DATE(A28,B28,1)</f>
        <v>45352</v>
      </c>
      <c r="E28">
        <v>5261</v>
      </c>
      <c r="F28">
        <v>22763</v>
      </c>
      <c r="G28">
        <v>8996855</v>
      </c>
      <c r="H28">
        <v>934074.17</v>
      </c>
      <c r="I28">
        <v>8062780.8300000001</v>
      </c>
      <c r="J28">
        <v>2090507.61</v>
      </c>
      <c r="K28">
        <v>25.93</v>
      </c>
    </row>
    <row r="29" spans="1:11">
      <c r="A29">
        <v>2024</v>
      </c>
      <c r="B29">
        <v>4</v>
      </c>
      <c r="C29" t="s">
        <v>3</v>
      </c>
      <c r="D29" s="2">
        <f>DATE(A29,B29,1)</f>
        <v>45383</v>
      </c>
      <c r="E29">
        <v>5085</v>
      </c>
      <c r="F29">
        <v>22098</v>
      </c>
      <c r="G29">
        <v>8853534</v>
      </c>
      <c r="H29">
        <v>394867.23</v>
      </c>
      <c r="I29">
        <v>8458666.7699999996</v>
      </c>
      <c r="J29">
        <v>2585959.3199999998</v>
      </c>
      <c r="K29">
        <v>30.57</v>
      </c>
    </row>
    <row r="30" spans="1:11">
      <c r="A30">
        <v>2024</v>
      </c>
      <c r="B30">
        <v>5</v>
      </c>
      <c r="C30" t="s">
        <v>4</v>
      </c>
      <c r="D30" s="2">
        <f>DATE(A30,B30,1)</f>
        <v>45413</v>
      </c>
      <c r="E30">
        <v>5281</v>
      </c>
      <c r="F30">
        <v>23173</v>
      </c>
      <c r="G30">
        <v>9242338</v>
      </c>
      <c r="H30">
        <v>514573.75</v>
      </c>
      <c r="I30">
        <v>8727764.25</v>
      </c>
      <c r="J30">
        <v>2582436.54</v>
      </c>
      <c r="K30">
        <v>29.59</v>
      </c>
    </row>
    <row r="31" spans="1:11">
      <c r="A31">
        <v>2024</v>
      </c>
      <c r="B31">
        <v>6</v>
      </c>
      <c r="C31" t="s">
        <v>5</v>
      </c>
      <c r="D31" s="2">
        <f>DATE(A31,B31,1)</f>
        <v>45444</v>
      </c>
      <c r="E31">
        <v>5091</v>
      </c>
      <c r="F31">
        <v>21840</v>
      </c>
      <c r="G31">
        <v>8643269</v>
      </c>
      <c r="H31">
        <v>321671.53999999998</v>
      </c>
      <c r="I31">
        <v>8321597.46</v>
      </c>
      <c r="J31">
        <v>2584464.38</v>
      </c>
      <c r="K31">
        <v>31.06</v>
      </c>
    </row>
    <row r="32" spans="1:11">
      <c r="A32">
        <v>2024</v>
      </c>
      <c r="B32">
        <v>7</v>
      </c>
      <c r="C32" t="s">
        <v>6</v>
      </c>
      <c r="D32" s="2">
        <f>DATE(A32,B32,1)</f>
        <v>45474</v>
      </c>
      <c r="E32">
        <v>5257</v>
      </c>
      <c r="F32">
        <v>23063</v>
      </c>
      <c r="G32">
        <v>9186670</v>
      </c>
      <c r="H32">
        <v>830440.4</v>
      </c>
      <c r="I32">
        <v>8356229.5999999996</v>
      </c>
      <c r="J32">
        <v>2256759.9700000002</v>
      </c>
      <c r="K32">
        <v>27.01</v>
      </c>
    </row>
    <row r="33" spans="1:11">
      <c r="A33">
        <v>2024</v>
      </c>
      <c r="B33">
        <v>8</v>
      </c>
      <c r="C33" t="s">
        <v>7</v>
      </c>
      <c r="D33" s="2">
        <f>DATE(A33,B33,1)</f>
        <v>45505</v>
      </c>
      <c r="E33">
        <v>5280</v>
      </c>
      <c r="F33">
        <v>23041</v>
      </c>
      <c r="G33">
        <v>9287876</v>
      </c>
      <c r="H33">
        <v>589824.81000000006</v>
      </c>
      <c r="I33">
        <v>8698051.1899999995</v>
      </c>
      <c r="J33">
        <v>2532470.08</v>
      </c>
      <c r="K33">
        <v>29.12</v>
      </c>
    </row>
    <row r="34" spans="1:11">
      <c r="A34">
        <v>2024</v>
      </c>
      <c r="B34">
        <v>9</v>
      </c>
      <c r="C34" t="s">
        <v>8</v>
      </c>
      <c r="D34" s="2">
        <f>DATE(A34,B34,1)</f>
        <v>45536</v>
      </c>
      <c r="E34">
        <v>5085</v>
      </c>
      <c r="F34">
        <v>21852</v>
      </c>
      <c r="G34">
        <v>8704188</v>
      </c>
      <c r="H34">
        <v>175732.98</v>
      </c>
      <c r="I34">
        <v>8528455.0199999996</v>
      </c>
      <c r="J34">
        <v>2746538.84</v>
      </c>
      <c r="K34">
        <v>32.200000000000003</v>
      </c>
    </row>
    <row r="35" spans="1:11">
      <c r="A35">
        <v>2024</v>
      </c>
      <c r="B35">
        <v>10</v>
      </c>
      <c r="C35" t="s">
        <v>9</v>
      </c>
      <c r="D35" s="2">
        <f>DATE(A35,B35,1)</f>
        <v>45566</v>
      </c>
      <c r="E35">
        <v>5265</v>
      </c>
      <c r="F35">
        <v>23193</v>
      </c>
      <c r="G35">
        <v>9212555</v>
      </c>
      <c r="H35">
        <v>387733.25</v>
      </c>
      <c r="I35">
        <v>8824821.75</v>
      </c>
      <c r="J35">
        <v>2708901.4</v>
      </c>
      <c r="K35">
        <v>30.7</v>
      </c>
    </row>
    <row r="36" spans="1:11">
      <c r="A36">
        <v>2024</v>
      </c>
      <c r="B36">
        <v>11</v>
      </c>
      <c r="C36" t="s">
        <v>10</v>
      </c>
      <c r="D36" s="2">
        <f>DATE(A36,B36,1)</f>
        <v>45597</v>
      </c>
      <c r="E36">
        <v>5107</v>
      </c>
      <c r="F36">
        <v>22059</v>
      </c>
      <c r="G36">
        <v>8800313</v>
      </c>
      <c r="H36">
        <v>237816.77</v>
      </c>
      <c r="I36">
        <v>8562496.2300000004</v>
      </c>
      <c r="J36">
        <v>2714569.36</v>
      </c>
      <c r="K36">
        <v>31.7</v>
      </c>
    </row>
    <row r="37" spans="1:11">
      <c r="A37">
        <v>2024</v>
      </c>
      <c r="B37">
        <v>12</v>
      </c>
      <c r="C37" t="s">
        <v>11</v>
      </c>
      <c r="D37" s="2">
        <f>DATE(A37,B37,1)</f>
        <v>45627</v>
      </c>
      <c r="E37">
        <v>5264</v>
      </c>
      <c r="F37">
        <v>22856</v>
      </c>
      <c r="G37">
        <v>9141171</v>
      </c>
      <c r="H37">
        <v>499869.08</v>
      </c>
      <c r="I37">
        <v>8641301.9199999999</v>
      </c>
      <c r="J37">
        <v>2570378.21</v>
      </c>
      <c r="K37">
        <v>29.75</v>
      </c>
    </row>
    <row r="38" spans="1:11">
      <c r="A38">
        <v>2025</v>
      </c>
      <c r="B38">
        <v>1</v>
      </c>
      <c r="C38" t="s">
        <v>0</v>
      </c>
      <c r="D38" s="2">
        <f>DATE(A38,B38,1)</f>
        <v>45658</v>
      </c>
      <c r="E38">
        <v>5259</v>
      </c>
      <c r="F38">
        <v>23089</v>
      </c>
      <c r="G38">
        <v>9255311</v>
      </c>
      <c r="H38">
        <v>853489.23</v>
      </c>
      <c r="I38">
        <v>8401821.7699999996</v>
      </c>
      <c r="J38">
        <v>2259807.96</v>
      </c>
      <c r="K38">
        <v>26.9</v>
      </c>
    </row>
    <row r="39" spans="1:11">
      <c r="A39">
        <v>2025</v>
      </c>
      <c r="B39">
        <v>2</v>
      </c>
      <c r="C39" t="s">
        <v>1</v>
      </c>
      <c r="D39" s="2">
        <f>DATE(A39,B39,1)</f>
        <v>45689</v>
      </c>
      <c r="E39">
        <v>4765</v>
      </c>
      <c r="F39">
        <v>20477</v>
      </c>
      <c r="G39">
        <v>8193710</v>
      </c>
      <c r="H39">
        <v>482877.69</v>
      </c>
      <c r="I39">
        <v>7710832.3099999996</v>
      </c>
      <c r="J39">
        <v>2264496.5499999998</v>
      </c>
      <c r="K39">
        <v>29.37</v>
      </c>
    </row>
    <row r="40" spans="1:11">
      <c r="A40">
        <v>2025</v>
      </c>
      <c r="B40">
        <v>3</v>
      </c>
      <c r="C40" t="s">
        <v>2</v>
      </c>
      <c r="D40" s="2">
        <f>DATE(A40,B40,1)</f>
        <v>45717</v>
      </c>
      <c r="E40">
        <v>5263</v>
      </c>
      <c r="F40">
        <v>23066</v>
      </c>
      <c r="G40">
        <v>9183672</v>
      </c>
      <c r="H40">
        <v>613183.25</v>
      </c>
      <c r="I40">
        <v>8570488.75</v>
      </c>
      <c r="J40">
        <v>2472775.42</v>
      </c>
      <c r="K40">
        <v>28.85</v>
      </c>
    </row>
    <row r="41" spans="1:11">
      <c r="A41">
        <v>2025</v>
      </c>
      <c r="B41">
        <v>4</v>
      </c>
      <c r="C41" t="s">
        <v>3</v>
      </c>
      <c r="D41" s="2">
        <f>DATE(A41,B41,1)</f>
        <v>45748</v>
      </c>
      <c r="E41">
        <v>5091</v>
      </c>
      <c r="F41">
        <v>22142</v>
      </c>
      <c r="G41">
        <v>8757092</v>
      </c>
      <c r="H41">
        <v>340186.97</v>
      </c>
      <c r="I41">
        <v>8416905.0299999993</v>
      </c>
      <c r="J41">
        <v>2603834.14</v>
      </c>
      <c r="K41">
        <v>30.94</v>
      </c>
    </row>
    <row r="42" spans="1:11">
      <c r="A42">
        <v>2025</v>
      </c>
      <c r="B42">
        <v>5</v>
      </c>
      <c r="C42" t="s">
        <v>4</v>
      </c>
      <c r="D42" s="2">
        <f>DATE(A42,B42,1)</f>
        <v>45778</v>
      </c>
      <c r="E42">
        <v>5273</v>
      </c>
      <c r="F42">
        <v>22834</v>
      </c>
      <c r="G42">
        <v>9085316</v>
      </c>
      <c r="H42">
        <v>555280.84</v>
      </c>
      <c r="I42">
        <v>8530035.1600000001</v>
      </c>
      <c r="J42">
        <v>2496084.9900000002</v>
      </c>
      <c r="K42">
        <v>29.26</v>
      </c>
    </row>
    <row r="43" spans="1:11">
      <c r="A43">
        <v>2025</v>
      </c>
      <c r="B43">
        <v>6</v>
      </c>
      <c r="C43" t="s">
        <v>5</v>
      </c>
      <c r="D43" s="2">
        <f>DATE(A43,B43,1)</f>
        <v>45809</v>
      </c>
      <c r="E43">
        <v>5094</v>
      </c>
      <c r="F43">
        <v>22360</v>
      </c>
      <c r="G43">
        <v>8912752</v>
      </c>
      <c r="H43">
        <v>1009975.77</v>
      </c>
      <c r="I43">
        <v>7902776.2300000004</v>
      </c>
      <c r="J43">
        <v>1985047.23</v>
      </c>
      <c r="K43">
        <v>25.12</v>
      </c>
    </row>
    <row r="44" spans="1:11">
      <c r="A44">
        <v>2025</v>
      </c>
      <c r="B44">
        <v>7</v>
      </c>
      <c r="C44" t="s">
        <v>6</v>
      </c>
      <c r="D44" s="2">
        <f>DATE(A44,B44,1)</f>
        <v>45839</v>
      </c>
      <c r="E44">
        <v>5258</v>
      </c>
      <c r="F44">
        <v>22682</v>
      </c>
      <c r="G44">
        <v>9036931</v>
      </c>
      <c r="H44">
        <v>702153.58</v>
      </c>
      <c r="I44">
        <v>8334777.4199999999</v>
      </c>
      <c r="J44">
        <v>2333413.5699999998</v>
      </c>
      <c r="K44">
        <v>28</v>
      </c>
    </row>
    <row r="45" spans="1:11">
      <c r="A45">
        <v>2025</v>
      </c>
      <c r="B45">
        <v>8</v>
      </c>
      <c r="C45" t="s">
        <v>7</v>
      </c>
      <c r="D45" s="2">
        <f>DATE(A45,B45,1)</f>
        <v>45870</v>
      </c>
      <c r="E45">
        <v>5276</v>
      </c>
      <c r="F45">
        <v>23079</v>
      </c>
      <c r="G45">
        <v>9189776</v>
      </c>
      <c r="H45">
        <v>392700.51</v>
      </c>
      <c r="I45">
        <v>8797075.4900000002</v>
      </c>
      <c r="J45">
        <v>2697659.55</v>
      </c>
      <c r="K45">
        <v>30.67</v>
      </c>
    </row>
    <row r="46" spans="1:11">
      <c r="A46">
        <v>2025</v>
      </c>
      <c r="B46">
        <v>9</v>
      </c>
      <c r="C46" t="s">
        <v>8</v>
      </c>
      <c r="D46" s="2">
        <f>DATE(A46,B46,1)</f>
        <v>45901</v>
      </c>
      <c r="E46">
        <v>5101</v>
      </c>
      <c r="F46">
        <v>22209</v>
      </c>
      <c r="G46">
        <v>8886566</v>
      </c>
      <c r="H46">
        <v>350040.31</v>
      </c>
      <c r="I46">
        <v>8536525.6899999995</v>
      </c>
      <c r="J46">
        <v>2636505.4900000002</v>
      </c>
      <c r="K46">
        <v>30.88</v>
      </c>
    </row>
    <row r="47" spans="1:11">
      <c r="A47">
        <v>2025</v>
      </c>
      <c r="B47">
        <v>10</v>
      </c>
      <c r="C47" t="s">
        <v>9</v>
      </c>
      <c r="D47" s="2">
        <f>DATE(A47,B47,1)</f>
        <v>45931</v>
      </c>
      <c r="E47">
        <v>5246</v>
      </c>
      <c r="F47">
        <v>22655</v>
      </c>
      <c r="G47">
        <v>8996018</v>
      </c>
      <c r="H47">
        <v>344301.12</v>
      </c>
      <c r="I47">
        <v>8651716.8800000008</v>
      </c>
      <c r="J47">
        <v>2673406.4500000002</v>
      </c>
      <c r="K47">
        <v>30.9</v>
      </c>
    </row>
    <row r="48" spans="1:11">
      <c r="A48">
        <v>2025</v>
      </c>
      <c r="B48">
        <v>11</v>
      </c>
      <c r="C48" t="s">
        <v>10</v>
      </c>
      <c r="D48" s="2">
        <f>DATE(A48,B48,1)</f>
        <v>45962</v>
      </c>
      <c r="E48">
        <v>5116</v>
      </c>
      <c r="F48">
        <v>22524</v>
      </c>
      <c r="G48">
        <v>9001249</v>
      </c>
      <c r="H48">
        <v>404743.39</v>
      </c>
      <c r="I48">
        <v>8596505.6099999994</v>
      </c>
      <c r="J48">
        <v>2617779.41</v>
      </c>
      <c r="K48">
        <v>30.45</v>
      </c>
    </row>
    <row r="49" spans="1:11">
      <c r="A49">
        <v>2025</v>
      </c>
      <c r="B49">
        <v>12</v>
      </c>
      <c r="C49" t="s">
        <v>11</v>
      </c>
      <c r="D49" s="2">
        <f>DATE(A49,B49,1)</f>
        <v>45992</v>
      </c>
      <c r="E49">
        <v>5263</v>
      </c>
      <c r="F49">
        <v>22723</v>
      </c>
      <c r="G49">
        <v>9126884</v>
      </c>
      <c r="H49">
        <v>255857.11</v>
      </c>
      <c r="I49">
        <v>8871026.8900000006</v>
      </c>
      <c r="J49">
        <v>2809465.19</v>
      </c>
      <c r="K49">
        <v>31.67</v>
      </c>
    </row>
    <row r="50" spans="1:11">
      <c r="A50">
        <v>2026</v>
      </c>
      <c r="B50">
        <v>1</v>
      </c>
      <c r="C50" t="s">
        <v>0</v>
      </c>
      <c r="D50" s="2">
        <f>DATE(A50,B50,1)</f>
        <v>46023</v>
      </c>
      <c r="E50">
        <v>5249</v>
      </c>
      <c r="F50">
        <v>22814</v>
      </c>
      <c r="G50">
        <v>9096085</v>
      </c>
      <c r="H50">
        <v>208439.77</v>
      </c>
      <c r="I50">
        <v>8887645.2300000004</v>
      </c>
      <c r="J50">
        <v>2845093.12</v>
      </c>
      <c r="K50">
        <v>32.01</v>
      </c>
    </row>
    <row r="51" spans="1:11">
      <c r="A51">
        <v>2026</v>
      </c>
      <c r="B51">
        <v>2</v>
      </c>
      <c r="C51" t="s">
        <v>1</v>
      </c>
      <c r="D51" s="2">
        <f>DATE(A51,B51,1)</f>
        <v>46054</v>
      </c>
      <c r="E51">
        <v>4780</v>
      </c>
      <c r="F51">
        <v>20996</v>
      </c>
      <c r="G51">
        <v>8294380</v>
      </c>
      <c r="H51">
        <v>499689.02</v>
      </c>
      <c r="I51">
        <v>7794690.9800000004</v>
      </c>
      <c r="J51">
        <v>2292010.4700000002</v>
      </c>
      <c r="K51">
        <v>29.4</v>
      </c>
    </row>
    <row r="52" spans="1:11">
      <c r="A52">
        <v>2026</v>
      </c>
      <c r="B52">
        <v>3</v>
      </c>
      <c r="C52" t="s">
        <v>2</v>
      </c>
      <c r="D52" s="2">
        <f>DATE(A52,B52,1)</f>
        <v>46082</v>
      </c>
      <c r="E52">
        <v>5254</v>
      </c>
      <c r="F52">
        <v>22580</v>
      </c>
      <c r="G52">
        <v>9089923</v>
      </c>
      <c r="H52">
        <v>823666.92</v>
      </c>
      <c r="I52">
        <v>8266256.0800000001</v>
      </c>
      <c r="J52">
        <v>2223058.1</v>
      </c>
      <c r="K52">
        <v>26.89</v>
      </c>
    </row>
    <row r="53" spans="1:11">
      <c r="A53">
        <v>2026</v>
      </c>
      <c r="B53">
        <v>4</v>
      </c>
      <c r="C53" t="s">
        <v>3</v>
      </c>
      <c r="D53" s="2">
        <f>DATE(A53,B53,1)</f>
        <v>46113</v>
      </c>
      <c r="E53">
        <v>5092</v>
      </c>
      <c r="F53">
        <v>22427</v>
      </c>
      <c r="G53">
        <v>8907929</v>
      </c>
      <c r="H53">
        <v>639672.23</v>
      </c>
      <c r="I53">
        <v>8268256.7699999996</v>
      </c>
      <c r="J53">
        <v>2351366.9900000002</v>
      </c>
      <c r="K53">
        <v>28.44</v>
      </c>
    </row>
    <row r="54" spans="1:11">
      <c r="A54">
        <v>2026</v>
      </c>
      <c r="B54">
        <v>5</v>
      </c>
      <c r="C54" t="s">
        <v>4</v>
      </c>
      <c r="D54" s="2">
        <f>DATE(A54,B54,1)</f>
        <v>46143</v>
      </c>
      <c r="E54">
        <v>5279</v>
      </c>
      <c r="F54">
        <v>22904</v>
      </c>
      <c r="G54">
        <v>9175134</v>
      </c>
      <c r="H54">
        <v>505187.65</v>
      </c>
      <c r="I54">
        <v>8669946.3499999996</v>
      </c>
      <c r="J54">
        <v>2581789.0499999998</v>
      </c>
      <c r="K54">
        <v>29.78</v>
      </c>
    </row>
    <row r="55" spans="1:11">
      <c r="A55">
        <v>2026</v>
      </c>
      <c r="B55">
        <v>6</v>
      </c>
      <c r="C55" t="s">
        <v>5</v>
      </c>
      <c r="D55" s="2">
        <f>DATE(A55,B55,1)</f>
        <v>46174</v>
      </c>
      <c r="E55">
        <v>5085</v>
      </c>
      <c r="F55">
        <v>21959</v>
      </c>
      <c r="G55">
        <v>8755268</v>
      </c>
      <c r="H55">
        <v>523437.9</v>
      </c>
      <c r="I55">
        <v>8231830.0999999996</v>
      </c>
      <c r="J55">
        <v>2415429.7999999998</v>
      </c>
      <c r="K55">
        <v>29.34</v>
      </c>
    </row>
    <row r="56" spans="1:11">
      <c r="A56">
        <v>2026</v>
      </c>
      <c r="B56">
        <v>7</v>
      </c>
      <c r="C56" t="s">
        <v>6</v>
      </c>
      <c r="D56" s="2">
        <f>DATE(A56,B56,1)</f>
        <v>46204</v>
      </c>
      <c r="E56">
        <v>5267</v>
      </c>
      <c r="F56">
        <v>23216</v>
      </c>
      <c r="G56">
        <v>9298026</v>
      </c>
      <c r="H56">
        <v>291330.46999999997</v>
      </c>
      <c r="I56">
        <v>9006695.5299999993</v>
      </c>
      <c r="J56">
        <v>2829427.86</v>
      </c>
      <c r="K56">
        <v>31.41</v>
      </c>
    </row>
    <row r="57" spans="1:11">
      <c r="A57">
        <v>2026</v>
      </c>
      <c r="B57">
        <v>8</v>
      </c>
      <c r="C57" t="s">
        <v>7</v>
      </c>
      <c r="D57" s="2">
        <f>DATE(A57,B57,1)</f>
        <v>46235</v>
      </c>
      <c r="E57">
        <v>5274</v>
      </c>
      <c r="F57">
        <v>22716</v>
      </c>
      <c r="G57">
        <v>9047793</v>
      </c>
      <c r="H57">
        <v>652184.05000000005</v>
      </c>
      <c r="I57">
        <v>8395608.9499999993</v>
      </c>
      <c r="J57">
        <v>2388893.31</v>
      </c>
      <c r="K57">
        <v>28.45</v>
      </c>
    </row>
    <row r="58" spans="1:11">
      <c r="A58">
        <v>2026</v>
      </c>
      <c r="B58">
        <v>9</v>
      </c>
      <c r="C58" t="s">
        <v>8</v>
      </c>
      <c r="D58" s="2">
        <f>DATE(A58,B58,1)</f>
        <v>46266</v>
      </c>
      <c r="E58">
        <v>5090</v>
      </c>
      <c r="F58">
        <v>22204</v>
      </c>
      <c r="G58">
        <v>8848712</v>
      </c>
      <c r="H58">
        <v>931695.78</v>
      </c>
      <c r="I58">
        <v>7917016.2199999997</v>
      </c>
      <c r="J58">
        <v>2040042.11</v>
      </c>
      <c r="K58">
        <v>25.77</v>
      </c>
    </row>
    <row r="59" spans="1:11">
      <c r="A59">
        <v>2026</v>
      </c>
      <c r="B59">
        <v>10</v>
      </c>
      <c r="C59" t="s">
        <v>9</v>
      </c>
      <c r="D59" s="2">
        <f>DATE(A59,B59,1)</f>
        <v>46296</v>
      </c>
      <c r="E59">
        <v>5263</v>
      </c>
      <c r="F59">
        <v>23044</v>
      </c>
      <c r="G59">
        <v>9161364</v>
      </c>
      <c r="H59">
        <v>279888.87</v>
      </c>
      <c r="I59">
        <v>8881475.1300000008</v>
      </c>
      <c r="J59">
        <v>2802557.79</v>
      </c>
      <c r="K59">
        <v>31.56</v>
      </c>
    </row>
    <row r="60" spans="1:11">
      <c r="A60">
        <v>2026</v>
      </c>
      <c r="B60">
        <v>11</v>
      </c>
      <c r="C60" t="s">
        <v>10</v>
      </c>
      <c r="D60" s="2">
        <f>DATE(A60,B60,1)</f>
        <v>46327</v>
      </c>
      <c r="E60">
        <v>5101</v>
      </c>
      <c r="F60">
        <v>21978</v>
      </c>
      <c r="G60">
        <v>8832864</v>
      </c>
      <c r="H60">
        <v>427534.71</v>
      </c>
      <c r="I60">
        <v>8405329.2899999991</v>
      </c>
      <c r="J60">
        <v>2536262.6</v>
      </c>
      <c r="K60">
        <v>30.17</v>
      </c>
    </row>
    <row r="61" spans="1:11">
      <c r="A61">
        <v>2026</v>
      </c>
      <c r="B61">
        <v>12</v>
      </c>
      <c r="C61" t="s">
        <v>11</v>
      </c>
      <c r="D61" s="2">
        <f>DATE(A61,B61,1)</f>
        <v>46357</v>
      </c>
      <c r="E61">
        <v>5274</v>
      </c>
      <c r="F61">
        <v>23141</v>
      </c>
      <c r="G61">
        <v>9161653</v>
      </c>
      <c r="H61">
        <v>365167.35</v>
      </c>
      <c r="I61">
        <v>8796485.6500000004</v>
      </c>
      <c r="J61">
        <v>2712858.26</v>
      </c>
      <c r="K61">
        <v>30.84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B1C0-98E2-4DEB-9F7D-75F52B8FD6F2}">
  <sheetPr>
    <tabColor theme="5" tint="-0.499984740745262"/>
  </sheetPr>
  <dimension ref="A1:B9"/>
  <sheetViews>
    <sheetView zoomScale="126" workbookViewId="0">
      <selection activeCell="B2" sqref="B2"/>
    </sheetView>
  </sheetViews>
  <sheetFormatPr defaultRowHeight="15"/>
  <cols>
    <col min="1" max="1" width="22.85546875" customWidth="1"/>
    <col min="2" max="2" width="21.42578125" customWidth="1"/>
  </cols>
  <sheetData>
    <row r="1" spans="1:2">
      <c r="A1" s="3" t="s">
        <v>23</v>
      </c>
      <c r="B1" s="3" t="s">
        <v>19</v>
      </c>
    </row>
    <row r="2" spans="1:2">
      <c r="A2" s="5" t="s">
        <v>24</v>
      </c>
      <c r="B2" s="5">
        <v>88180372.700000003</v>
      </c>
    </row>
    <row r="3" spans="1:2">
      <c r="A3" s="5" t="s">
        <v>25</v>
      </c>
      <c r="B3" s="5">
        <v>67645809.840000004</v>
      </c>
    </row>
    <row r="4" spans="1:2">
      <c r="A4" s="5" t="s">
        <v>26</v>
      </c>
      <c r="B4" s="5">
        <v>67625717.819999993</v>
      </c>
    </row>
    <row r="5" spans="1:2">
      <c r="A5" s="5" t="s">
        <v>27</v>
      </c>
      <c r="B5" s="5">
        <v>61144731.109999999</v>
      </c>
    </row>
    <row r="6" spans="1:2">
      <c r="A6" s="5" t="s">
        <v>28</v>
      </c>
      <c r="B6" s="5">
        <v>61081393.020000003</v>
      </c>
    </row>
    <row r="7" spans="1:2">
      <c r="A7" s="5" t="s">
        <v>29</v>
      </c>
      <c r="B7" s="5">
        <v>60936512.030000001</v>
      </c>
    </row>
    <row r="8" spans="1:2">
      <c r="A8" s="5" t="s">
        <v>30</v>
      </c>
      <c r="B8" s="5">
        <v>54321755.280000001</v>
      </c>
    </row>
    <row r="9" spans="1:2">
      <c r="A9" s="5" t="s">
        <v>31</v>
      </c>
      <c r="B9" s="5">
        <v>47227240.060000002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5D0E-E262-477A-9BAF-788405AAABAD}">
  <sheetPr>
    <tabColor rgb="FFFFFF00"/>
  </sheetPr>
  <dimension ref="A1:F11"/>
  <sheetViews>
    <sheetView zoomScale="102" workbookViewId="0">
      <selection activeCell="F8" sqref="F8"/>
    </sheetView>
  </sheetViews>
  <sheetFormatPr defaultRowHeight="15"/>
  <cols>
    <col min="1" max="1" width="34.5703125" bestFit="1" customWidth="1"/>
    <col min="2" max="2" width="11.42578125" bestFit="1" customWidth="1"/>
    <col min="3" max="3" width="12" bestFit="1" customWidth="1"/>
    <col min="4" max="4" width="12.42578125" bestFit="1" customWidth="1"/>
    <col min="5" max="5" width="12.7109375" bestFit="1" customWidth="1"/>
    <col min="6" max="6" width="23.7109375" bestFit="1" customWidth="1"/>
  </cols>
  <sheetData>
    <row r="1" spans="1:6">
      <c r="A1" t="s">
        <v>43</v>
      </c>
      <c r="B1" t="s">
        <v>44</v>
      </c>
      <c r="C1" t="s">
        <v>16</v>
      </c>
      <c r="D1" t="s">
        <v>45</v>
      </c>
      <c r="E1" t="s">
        <v>20</v>
      </c>
      <c r="F1" t="s">
        <v>46</v>
      </c>
    </row>
    <row r="2" spans="1:6">
      <c r="A2" s="4" t="s">
        <v>32</v>
      </c>
      <c r="B2" s="4" t="s">
        <v>33</v>
      </c>
      <c r="C2" s="4">
        <v>905</v>
      </c>
      <c r="D2" s="4">
        <v>1683397.94</v>
      </c>
      <c r="E2" s="4">
        <v>400740.74</v>
      </c>
      <c r="F2" s="4">
        <v>23.81</v>
      </c>
    </row>
    <row r="3" spans="1:6">
      <c r="A3" s="4" t="s">
        <v>34</v>
      </c>
      <c r="B3" s="4" t="s">
        <v>33</v>
      </c>
      <c r="C3" s="4">
        <v>913</v>
      </c>
      <c r="D3" s="4">
        <v>1667404.2</v>
      </c>
      <c r="E3" s="4">
        <v>398128.4</v>
      </c>
      <c r="F3" s="4">
        <v>23.88</v>
      </c>
    </row>
    <row r="4" spans="1:6">
      <c r="A4" s="4" t="s">
        <v>35</v>
      </c>
      <c r="B4" s="4" t="s">
        <v>33</v>
      </c>
      <c r="C4" s="4">
        <v>897</v>
      </c>
      <c r="D4" s="4">
        <v>1667266.3</v>
      </c>
      <c r="E4" s="4">
        <v>396943.86</v>
      </c>
      <c r="F4" s="4">
        <v>23.81</v>
      </c>
    </row>
    <row r="5" spans="1:6">
      <c r="A5" s="4" t="s">
        <v>36</v>
      </c>
      <c r="B5" s="4" t="s">
        <v>33</v>
      </c>
      <c r="C5" s="4">
        <v>901</v>
      </c>
      <c r="D5" s="4">
        <v>1650039.5</v>
      </c>
      <c r="E5" s="4">
        <v>396416.18</v>
      </c>
      <c r="F5" s="4">
        <v>24.02</v>
      </c>
    </row>
    <row r="6" spans="1:6">
      <c r="A6" s="4" t="s">
        <v>37</v>
      </c>
      <c r="B6" s="4" t="s">
        <v>33</v>
      </c>
      <c r="C6" s="4">
        <v>901</v>
      </c>
      <c r="D6" s="4">
        <v>1670859.15</v>
      </c>
      <c r="E6" s="4">
        <v>395599.35</v>
      </c>
      <c r="F6" s="4">
        <v>23.68</v>
      </c>
    </row>
    <row r="7" spans="1:6">
      <c r="A7" s="4" t="s">
        <v>38</v>
      </c>
      <c r="B7" s="4" t="s">
        <v>33</v>
      </c>
      <c r="C7" s="4">
        <v>897</v>
      </c>
      <c r="D7" s="4">
        <v>1639510.87</v>
      </c>
      <c r="E7" s="4">
        <v>394016.19</v>
      </c>
      <c r="F7" s="4">
        <v>24.03</v>
      </c>
    </row>
    <row r="8" spans="1:6">
      <c r="A8" s="4" t="s">
        <v>39</v>
      </c>
      <c r="B8" s="4" t="s">
        <v>33</v>
      </c>
      <c r="C8" s="4">
        <v>906</v>
      </c>
      <c r="D8" s="4">
        <v>1651062.08</v>
      </c>
      <c r="E8" s="4">
        <v>392578.12</v>
      </c>
      <c r="F8" s="4">
        <v>23.78</v>
      </c>
    </row>
    <row r="9" spans="1:6">
      <c r="A9" s="4" t="s">
        <v>40</v>
      </c>
      <c r="B9" s="4" t="s">
        <v>33</v>
      </c>
      <c r="C9" s="4">
        <v>908</v>
      </c>
      <c r="D9" s="4">
        <v>1676195.44</v>
      </c>
      <c r="E9" s="4">
        <v>391457.8</v>
      </c>
      <c r="F9" s="4">
        <v>23.35</v>
      </c>
    </row>
    <row r="10" spans="1:6">
      <c r="A10" s="4" t="s">
        <v>41</v>
      </c>
      <c r="B10" s="4" t="s">
        <v>33</v>
      </c>
      <c r="C10" s="4">
        <v>903</v>
      </c>
      <c r="D10" s="4">
        <v>1643276.52</v>
      </c>
      <c r="E10" s="4">
        <v>388582.88</v>
      </c>
      <c r="F10" s="4">
        <v>23.65</v>
      </c>
    </row>
    <row r="11" spans="1:6">
      <c r="A11" s="4" t="s">
        <v>42</v>
      </c>
      <c r="B11" s="4" t="s">
        <v>33</v>
      </c>
      <c r="C11" s="4">
        <v>899</v>
      </c>
      <c r="D11" s="4">
        <v>1613384.97</v>
      </c>
      <c r="E11" s="4">
        <v>387526.93</v>
      </c>
      <c r="F11" s="4">
        <v>24.02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7D49-EFCD-48CD-B367-69005AD49ECE}">
  <sheetPr>
    <tabColor theme="1" tint="4.9989318521683403E-2"/>
  </sheetPr>
  <dimension ref="A1:E7"/>
  <sheetViews>
    <sheetView zoomScale="95" zoomScaleNormal="95" workbookViewId="0">
      <selection activeCell="K20" sqref="K20"/>
    </sheetView>
  </sheetViews>
  <sheetFormatPr defaultRowHeight="15"/>
  <cols>
    <col min="1" max="1" width="21.7109375" bestFit="1" customWidth="1"/>
    <col min="2" max="3" width="12" bestFit="1" customWidth="1"/>
    <col min="4" max="4" width="12.7109375" bestFit="1" customWidth="1"/>
    <col min="5" max="5" width="24.85546875" bestFit="1" customWidth="1"/>
  </cols>
  <sheetData>
    <row r="1" spans="1:5">
      <c r="A1" t="s">
        <v>52</v>
      </c>
      <c r="B1" t="s">
        <v>16</v>
      </c>
      <c r="C1" t="s">
        <v>19</v>
      </c>
      <c r="D1" t="s">
        <v>20</v>
      </c>
      <c r="E1" t="s">
        <v>53</v>
      </c>
    </row>
    <row r="2" spans="1:5">
      <c r="A2" s="6" t="s">
        <v>33</v>
      </c>
      <c r="B2" s="6">
        <v>269973</v>
      </c>
      <c r="C2" s="6">
        <v>247195755.31</v>
      </c>
      <c r="D2" s="6">
        <v>58478570.030000001</v>
      </c>
      <c r="E2" s="6">
        <v>23.66</v>
      </c>
    </row>
    <row r="3" spans="1:5">
      <c r="A3" s="6" t="s">
        <v>47</v>
      </c>
      <c r="B3" s="6">
        <v>269895</v>
      </c>
      <c r="C3" s="6">
        <v>126684060.75</v>
      </c>
      <c r="D3" s="6">
        <v>43259652.649999999</v>
      </c>
      <c r="E3" s="6">
        <v>34.15</v>
      </c>
    </row>
    <row r="4" spans="1:5">
      <c r="A4" s="6" t="s">
        <v>48</v>
      </c>
      <c r="B4" s="6">
        <v>269948</v>
      </c>
      <c r="C4" s="6">
        <v>65355345.149999999</v>
      </c>
      <c r="D4" s="6">
        <v>24995096.91</v>
      </c>
      <c r="E4" s="6">
        <v>38.24</v>
      </c>
    </row>
    <row r="5" spans="1:5">
      <c r="A5" s="6" t="s">
        <v>49</v>
      </c>
      <c r="B5" s="6">
        <v>134824</v>
      </c>
      <c r="C5" s="6">
        <v>32549849.93</v>
      </c>
      <c r="D5" s="6">
        <v>11763120.33</v>
      </c>
      <c r="E5" s="6">
        <v>36.14</v>
      </c>
    </row>
    <row r="6" spans="1:5">
      <c r="A6" s="6" t="s">
        <v>50</v>
      </c>
      <c r="B6" s="6">
        <v>179999</v>
      </c>
      <c r="C6" s="6">
        <v>25569795.66</v>
      </c>
      <c r="D6" s="6">
        <v>10530846.41</v>
      </c>
      <c r="E6" s="6">
        <v>41.18</v>
      </c>
    </row>
    <row r="7" spans="1:5">
      <c r="A7" s="6" t="s">
        <v>51</v>
      </c>
      <c r="B7" s="6">
        <v>225061</v>
      </c>
      <c r="C7" s="6">
        <v>10808725.060000001</v>
      </c>
      <c r="D7" s="6">
        <v>1701700.82</v>
      </c>
      <c r="E7" s="6">
        <v>15.74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71282-F7F9-40D2-B3A6-46E8C5153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MonthlySalesAnalysis</vt:lpstr>
      <vt:lpstr>Regional Analysis</vt:lpstr>
      <vt:lpstr>Product Analysis</vt:lpstr>
      <vt:lpstr>CategoryAnalysis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Ghulam Murtaza</dc:creator>
  <cp:lastModifiedBy>Ghulam Murtaza</cp:lastModifiedBy>
  <dcterms:created xsi:type="dcterms:W3CDTF">2026-10-09T06:35:18Z</dcterms:created>
  <dcterms:modified xsi:type="dcterms:W3CDTF">2026-10-17T13:38:36Z</dcterms:modified>
</cp:coreProperties>
</file>